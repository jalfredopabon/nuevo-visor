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https://careinternational.sharepoint.com/teams/CAREProyectos/Documentos compartidos/01. Programas/1. Acción Humanitaria/Proyectos/001OCHACONESPERANZA2026/04. MEAL/4.1 Monitoreo/"/>
    </mc:Choice>
  </mc:AlternateContent>
  <xr:revisionPtr revIDLastSave="0" documentId="8_{8F6DE1A0-FAE2-4ECA-9E44-0ED01D384AB3}" xr6:coauthVersionLast="47" xr6:coauthVersionMax="47" xr10:uidLastSave="{00000000-0000-0000-0000-000000000000}"/>
  <bookViews>
    <workbookView xWindow="20370" yWindow="-120" windowWidth="29040" windowHeight="15720" tabRatio="500" activeTab="3" xr2:uid="{00000000-000D-0000-FFFF-FFFF00000000}"/>
  </bookViews>
  <sheets>
    <sheet name="Marco Lógico" sheetId="1" r:id="rId1"/>
    <sheet name="Detalle metas" sheetId="2" r:id="rId2"/>
    <sheet name="Seguimiento Cauca" sheetId="3" r:id="rId3"/>
    <sheet name="Seguimiento NdS" sheetId="4" r:id="rId4"/>
    <sheet name="Consolidado" sheetId="5" r:id="rId5"/>
    <sheet name="Indicator Targets" sheetId="8" r:id="rId6"/>
    <sheet name="Dashboard" sheetId="6" r:id="rId7"/>
  </sheets>
  <definedNames>
    <definedName name="_xlnm._FilterDatabase" localSheetId="5" hidden="1">'Indicator Targets'!$B$2:$H$20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83" i="4" l="1"/>
  <c r="Y71" i="4"/>
  <c r="V71" i="4"/>
  <c r="S71" i="4"/>
  <c r="P71" i="4"/>
  <c r="M71" i="4"/>
  <c r="J71" i="4"/>
  <c r="Y59" i="4"/>
  <c r="V59" i="4"/>
  <c r="S59" i="4"/>
  <c r="P59" i="4"/>
  <c r="M59" i="4"/>
  <c r="J59" i="4"/>
  <c r="Y47" i="4"/>
  <c r="V47" i="4"/>
  <c r="S47" i="4"/>
  <c r="P47" i="4"/>
  <c r="M47" i="4"/>
  <c r="J47" i="4"/>
  <c r="Y35" i="4"/>
  <c r="V35" i="4"/>
  <c r="S35" i="4"/>
  <c r="P35" i="4"/>
  <c r="M35" i="4"/>
  <c r="J35" i="4"/>
  <c r="Y23" i="4"/>
  <c r="V23" i="4"/>
  <c r="S23" i="4"/>
  <c r="P23" i="4"/>
  <c r="M23" i="4"/>
  <c r="J23" i="4"/>
  <c r="Y11" i="4"/>
  <c r="V11" i="4"/>
  <c r="S11" i="4"/>
  <c r="P11" i="4"/>
  <c r="M11" i="4"/>
  <c r="J11" i="4"/>
  <c r="Z11" i="3"/>
  <c r="Y30" i="3"/>
  <c r="Y49" i="3" s="1"/>
  <c r="V30" i="3"/>
  <c r="S30" i="3"/>
  <c r="P30" i="3"/>
  <c r="M30" i="3"/>
  <c r="J30" i="3"/>
  <c r="G49" i="3"/>
  <c r="V11" i="3"/>
  <c r="S11" i="3"/>
  <c r="P11" i="3"/>
  <c r="M11" i="3"/>
  <c r="J11" i="3"/>
  <c r="X7" i="2"/>
  <c r="I11" i="4" s="1"/>
  <c r="Y7" i="2"/>
  <c r="L11" i="4" s="1"/>
  <c r="Z7" i="2"/>
  <c r="O11" i="4" s="1"/>
  <c r="AA7" i="2"/>
  <c r="R11" i="4" s="1"/>
  <c r="AB7" i="2"/>
  <c r="U11" i="4" s="1"/>
  <c r="AC7" i="2"/>
  <c r="X11" i="4" s="1"/>
  <c r="AE7" i="2"/>
  <c r="F23" i="4" s="1"/>
  <c r="H23" i="4" s="1"/>
  <c r="AF7" i="2"/>
  <c r="I23" i="4" s="1"/>
  <c r="AG7" i="2"/>
  <c r="L23" i="4" s="1"/>
  <c r="AH7" i="2"/>
  <c r="O23" i="4" s="1"/>
  <c r="AI7" i="2"/>
  <c r="R23" i="4" s="1"/>
  <c r="AJ7" i="2"/>
  <c r="U23" i="4" s="1"/>
  <c r="AK7" i="2"/>
  <c r="X23" i="4" s="1"/>
  <c r="AM7" i="2"/>
  <c r="F35" i="4" s="1"/>
  <c r="H35" i="4" s="1"/>
  <c r="AN7" i="2"/>
  <c r="I35" i="4" s="1"/>
  <c r="K35" i="4" s="1"/>
  <c r="AO7" i="2"/>
  <c r="L35" i="4" s="1"/>
  <c r="AP7" i="2"/>
  <c r="O35" i="4" s="1"/>
  <c r="AQ7" i="2"/>
  <c r="R35" i="4" s="1"/>
  <c r="AR7" i="2"/>
  <c r="U35" i="4" s="1"/>
  <c r="W35" i="4" s="1"/>
  <c r="AS7" i="2"/>
  <c r="X35" i="4" s="1"/>
  <c r="AU7" i="2"/>
  <c r="F47" i="4" s="1"/>
  <c r="H47" i="4" s="1"/>
  <c r="AV7" i="2"/>
  <c r="I47" i="4" s="1"/>
  <c r="AW7" i="2"/>
  <c r="L47" i="4" s="1"/>
  <c r="AX7" i="2"/>
  <c r="O47" i="4" s="1"/>
  <c r="AY7" i="2"/>
  <c r="R47" i="4" s="1"/>
  <c r="AZ7" i="2"/>
  <c r="U47" i="4" s="1"/>
  <c r="BA7" i="2"/>
  <c r="X47" i="4" s="1"/>
  <c r="BC7" i="2"/>
  <c r="F59" i="4" s="1"/>
  <c r="H59" i="4" s="1"/>
  <c r="BD7" i="2"/>
  <c r="I59" i="4" s="1"/>
  <c r="BE7" i="2"/>
  <c r="L59" i="4" s="1"/>
  <c r="BF7" i="2"/>
  <c r="O59" i="4" s="1"/>
  <c r="BG7" i="2"/>
  <c r="R59" i="4" s="1"/>
  <c r="T59" i="4" s="1"/>
  <c r="BH7" i="2"/>
  <c r="U59" i="4" s="1"/>
  <c r="BI7" i="2"/>
  <c r="X59" i="4" s="1"/>
  <c r="BK7" i="2"/>
  <c r="F71" i="4" s="1"/>
  <c r="H71" i="4" s="1"/>
  <c r="BL7" i="2"/>
  <c r="I71" i="4" s="1"/>
  <c r="BM7" i="2"/>
  <c r="L71" i="4" s="1"/>
  <c r="BN7" i="2"/>
  <c r="O71" i="4" s="1"/>
  <c r="BO7" i="2"/>
  <c r="R71" i="4" s="1"/>
  <c r="BP7" i="2"/>
  <c r="U71" i="4" s="1"/>
  <c r="BQ7" i="2"/>
  <c r="X71" i="4" s="1"/>
  <c r="W7" i="2"/>
  <c r="F11" i="4" s="1"/>
  <c r="H11" i="4" s="1"/>
  <c r="G7" i="2"/>
  <c r="I11" i="3" s="1"/>
  <c r="H7" i="2"/>
  <c r="L11" i="3" s="1"/>
  <c r="I7" i="2"/>
  <c r="O11" i="3" s="1"/>
  <c r="J7" i="2"/>
  <c r="R11" i="3" s="1"/>
  <c r="K7" i="2"/>
  <c r="U11" i="3" s="1"/>
  <c r="L7" i="2"/>
  <c r="N7" i="2"/>
  <c r="F30" i="3" s="1"/>
  <c r="H30" i="3" s="1"/>
  <c r="O7" i="2"/>
  <c r="I30" i="3" s="1"/>
  <c r="P7" i="2"/>
  <c r="L30" i="3" s="1"/>
  <c r="Q7" i="2"/>
  <c r="O30" i="3" s="1"/>
  <c r="R7" i="2"/>
  <c r="R30" i="3" s="1"/>
  <c r="S7" i="2"/>
  <c r="U30" i="3" s="1"/>
  <c r="W30" i="3" s="1"/>
  <c r="T7" i="2"/>
  <c r="X30" i="3" s="1"/>
  <c r="X49" i="3" s="1"/>
  <c r="F7" i="2"/>
  <c r="F11" i="3" s="1"/>
  <c r="H11" i="3" s="1"/>
  <c r="C7" i="2"/>
  <c r="C26" i="2" s="1"/>
  <c r="E10" i="8"/>
  <c r="E6" i="8"/>
  <c r="G5" i="8"/>
  <c r="E5" i="8"/>
  <c r="E29" i="2"/>
  <c r="F32" i="5" s="1"/>
  <c r="F29" i="2"/>
  <c r="I32" i="5" s="1"/>
  <c r="G29" i="2"/>
  <c r="L32" i="5" s="1"/>
  <c r="H29" i="2"/>
  <c r="O32" i="5" s="1"/>
  <c r="I29" i="2"/>
  <c r="R32" i="5" s="1"/>
  <c r="J29" i="2"/>
  <c r="U32" i="5" s="1"/>
  <c r="E30" i="2"/>
  <c r="F33" i="5" s="1"/>
  <c r="L5" i="8" s="1"/>
  <c r="F30" i="2"/>
  <c r="I33" i="5" s="1"/>
  <c r="O5" i="8" s="1"/>
  <c r="G30" i="2"/>
  <c r="L33" i="5" s="1"/>
  <c r="R5" i="8" s="1"/>
  <c r="H30" i="2"/>
  <c r="O33" i="5" s="1"/>
  <c r="U5" i="8" s="1"/>
  <c r="I30" i="2"/>
  <c r="R33" i="5" s="1"/>
  <c r="X5" i="8" s="1"/>
  <c r="J30" i="2"/>
  <c r="U33" i="5" s="1"/>
  <c r="AA5" i="8" s="1"/>
  <c r="E31" i="2"/>
  <c r="F34" i="5" s="1"/>
  <c r="F31" i="2"/>
  <c r="I34" i="5" s="1"/>
  <c r="G31" i="2"/>
  <c r="L34" i="5" s="1"/>
  <c r="H31" i="2"/>
  <c r="O34" i="5" s="1"/>
  <c r="I31" i="2"/>
  <c r="R34" i="5" s="1"/>
  <c r="J31" i="2"/>
  <c r="U34" i="5" s="1"/>
  <c r="E32" i="2"/>
  <c r="F35" i="5" s="1"/>
  <c r="F32" i="2"/>
  <c r="I35" i="5" s="1"/>
  <c r="G32" i="2"/>
  <c r="L35" i="5" s="1"/>
  <c r="H32" i="2"/>
  <c r="O35" i="5" s="1"/>
  <c r="I32" i="2"/>
  <c r="R35" i="5" s="1"/>
  <c r="J32" i="2"/>
  <c r="U35" i="5" s="1"/>
  <c r="E33" i="2"/>
  <c r="F36" i="5" s="1"/>
  <c r="L6" i="8" s="1"/>
  <c r="F33" i="2"/>
  <c r="I36" i="5" s="1"/>
  <c r="O6" i="8" s="1"/>
  <c r="G33" i="2"/>
  <c r="L36" i="5" s="1"/>
  <c r="R6" i="8" s="1"/>
  <c r="H33" i="2"/>
  <c r="O36" i="5" s="1"/>
  <c r="U6" i="8" s="1"/>
  <c r="I33" i="2"/>
  <c r="R36" i="5" s="1"/>
  <c r="X6" i="8" s="1"/>
  <c r="J33" i="2"/>
  <c r="U36" i="5" s="1"/>
  <c r="AA6" i="8" s="1"/>
  <c r="E34" i="2"/>
  <c r="F37" i="5" s="1"/>
  <c r="L3" i="8" s="1"/>
  <c r="F34" i="2"/>
  <c r="I37" i="5" s="1"/>
  <c r="O3" i="8" s="1"/>
  <c r="G34" i="2"/>
  <c r="L37" i="5" s="1"/>
  <c r="R3" i="8" s="1"/>
  <c r="H34" i="2"/>
  <c r="O37" i="5" s="1"/>
  <c r="U3" i="8" s="1"/>
  <c r="I34" i="2"/>
  <c r="R37" i="5" s="1"/>
  <c r="X3" i="8" s="1"/>
  <c r="J34" i="2"/>
  <c r="U37" i="5" s="1"/>
  <c r="AA3" i="8" s="1"/>
  <c r="D30" i="2"/>
  <c r="C33" i="5" s="1"/>
  <c r="D31" i="2"/>
  <c r="C34" i="5" s="1"/>
  <c r="D32" i="2"/>
  <c r="C35" i="5" s="1"/>
  <c r="D33" i="2"/>
  <c r="C36" i="5" s="1"/>
  <c r="D34" i="2"/>
  <c r="C37" i="5" s="1"/>
  <c r="D29" i="2"/>
  <c r="C32" i="5" s="1"/>
  <c r="E28" i="2"/>
  <c r="F31" i="5" s="1"/>
  <c r="F28" i="2"/>
  <c r="I31" i="5" s="1"/>
  <c r="G28" i="2"/>
  <c r="L31" i="5" s="1"/>
  <c r="H28" i="2"/>
  <c r="O31" i="5" s="1"/>
  <c r="I28" i="2"/>
  <c r="R31" i="5" s="1"/>
  <c r="J28" i="2"/>
  <c r="U31" i="5" s="1"/>
  <c r="D28" i="2"/>
  <c r="C31" i="5" s="1"/>
  <c r="E27" i="2"/>
  <c r="F30" i="5" s="1"/>
  <c r="F27" i="2"/>
  <c r="I30" i="5" s="1"/>
  <c r="G27" i="2"/>
  <c r="L30" i="5" s="1"/>
  <c r="H27" i="2"/>
  <c r="O30" i="5" s="1"/>
  <c r="I27" i="2"/>
  <c r="R30" i="5" s="1"/>
  <c r="J27" i="2"/>
  <c r="U30" i="5" s="1"/>
  <c r="D27" i="2"/>
  <c r="C30" i="5" s="1"/>
  <c r="E25" i="2"/>
  <c r="F28" i="5" s="1"/>
  <c r="F25" i="2"/>
  <c r="I28" i="5" s="1"/>
  <c r="G25" i="2"/>
  <c r="L28" i="5" s="1"/>
  <c r="H25" i="2"/>
  <c r="O28" i="5" s="1"/>
  <c r="I25" i="2"/>
  <c r="R28" i="5" s="1"/>
  <c r="J25" i="2"/>
  <c r="U28" i="5" s="1"/>
  <c r="D25" i="2"/>
  <c r="C28" i="5" s="1"/>
  <c r="E24" i="2"/>
  <c r="F27" i="5" s="1"/>
  <c r="L10" i="8" s="1"/>
  <c r="F24" i="2"/>
  <c r="I27" i="5" s="1"/>
  <c r="O10" i="8" s="1"/>
  <c r="G24" i="2"/>
  <c r="L27" i="5" s="1"/>
  <c r="R10" i="8" s="1"/>
  <c r="H24" i="2"/>
  <c r="O27" i="5" s="1"/>
  <c r="U10" i="8" s="1"/>
  <c r="I24" i="2"/>
  <c r="R27" i="5" s="1"/>
  <c r="X10" i="8" s="1"/>
  <c r="J24" i="2"/>
  <c r="U27" i="5" s="1"/>
  <c r="AA10" i="8" s="1"/>
  <c r="D24" i="2"/>
  <c r="C27" i="5" s="1"/>
  <c r="E23" i="2"/>
  <c r="F26" i="5" s="1"/>
  <c r="F23" i="2"/>
  <c r="I26" i="5" s="1"/>
  <c r="G23" i="2"/>
  <c r="L26" i="5" s="1"/>
  <c r="H23" i="2"/>
  <c r="O26" i="5" s="1"/>
  <c r="I23" i="2"/>
  <c r="R26" i="5" s="1"/>
  <c r="J23" i="2"/>
  <c r="U26" i="5" s="1"/>
  <c r="D23" i="2"/>
  <c r="C26" i="5" s="1"/>
  <c r="E22" i="2"/>
  <c r="F25" i="5" s="1"/>
  <c r="F22" i="2"/>
  <c r="I25" i="5" s="1"/>
  <c r="G22" i="2"/>
  <c r="L25" i="5" s="1"/>
  <c r="H22" i="2"/>
  <c r="O25" i="5" s="1"/>
  <c r="I22" i="2"/>
  <c r="R25" i="5" s="1"/>
  <c r="J22" i="2"/>
  <c r="U25" i="5" s="1"/>
  <c r="D22" i="2"/>
  <c r="C25" i="5" s="1"/>
  <c r="E21" i="2"/>
  <c r="F24" i="5" s="1"/>
  <c r="F21" i="2"/>
  <c r="I24" i="5" s="1"/>
  <c r="G21" i="2"/>
  <c r="L24" i="5" s="1"/>
  <c r="H21" i="2"/>
  <c r="O24" i="5" s="1"/>
  <c r="I21" i="2"/>
  <c r="R24" i="5" s="1"/>
  <c r="J21" i="2"/>
  <c r="U24" i="5" s="1"/>
  <c r="D21" i="2"/>
  <c r="C24" i="5" s="1"/>
  <c r="F3" i="8"/>
  <c r="E3" i="8"/>
  <c r="H18" i="5"/>
  <c r="H17" i="5"/>
  <c r="H16" i="5"/>
  <c r="H15" i="5"/>
  <c r="H14" i="5"/>
  <c r="H13" i="5"/>
  <c r="H12" i="5"/>
  <c r="Y85" i="4"/>
  <c r="V85" i="4"/>
  <c r="S85" i="4"/>
  <c r="P85" i="4"/>
  <c r="M85" i="4"/>
  <c r="J85" i="4"/>
  <c r="G85" i="4"/>
  <c r="Y84" i="4"/>
  <c r="V84" i="4"/>
  <c r="S84" i="4"/>
  <c r="P84" i="4"/>
  <c r="M84" i="4"/>
  <c r="J84" i="4"/>
  <c r="G84" i="4"/>
  <c r="Y82" i="4"/>
  <c r="V82" i="4"/>
  <c r="S82" i="4"/>
  <c r="P82" i="4"/>
  <c r="M82" i="4"/>
  <c r="J82" i="4"/>
  <c r="G82" i="4"/>
  <c r="Y81" i="4"/>
  <c r="V81" i="4"/>
  <c r="S81" i="4"/>
  <c r="P81" i="4"/>
  <c r="M81" i="4"/>
  <c r="J81" i="4"/>
  <c r="G81" i="4"/>
  <c r="Y80" i="4"/>
  <c r="V80" i="4"/>
  <c r="S80" i="4"/>
  <c r="P80" i="4"/>
  <c r="M80" i="4"/>
  <c r="J80" i="4"/>
  <c r="G80" i="4"/>
  <c r="Y79" i="4"/>
  <c r="V79" i="4"/>
  <c r="S79" i="4"/>
  <c r="P79" i="4"/>
  <c r="M79" i="4"/>
  <c r="J79" i="4"/>
  <c r="G79" i="4"/>
  <c r="Y78" i="4"/>
  <c r="V78" i="4"/>
  <c r="S78" i="4"/>
  <c r="P78" i="4"/>
  <c r="M78" i="4"/>
  <c r="J78" i="4"/>
  <c r="G78" i="4"/>
  <c r="X73" i="4"/>
  <c r="Z73" i="4" s="1"/>
  <c r="U73" i="4"/>
  <c r="W73" i="4" s="1"/>
  <c r="R73" i="4"/>
  <c r="T73" i="4" s="1"/>
  <c r="O73" i="4"/>
  <c r="Q73" i="4" s="1"/>
  <c r="L73" i="4"/>
  <c r="N73" i="4" s="1"/>
  <c r="I73" i="4"/>
  <c r="K73" i="4" s="1"/>
  <c r="F73" i="4"/>
  <c r="H73" i="4" s="1"/>
  <c r="D73" i="4"/>
  <c r="X72" i="4"/>
  <c r="Z72" i="4" s="1"/>
  <c r="U72" i="4"/>
  <c r="W72" i="4" s="1"/>
  <c r="R72" i="4"/>
  <c r="T72" i="4" s="1"/>
  <c r="O72" i="4"/>
  <c r="Q72" i="4" s="1"/>
  <c r="L72" i="4"/>
  <c r="N72" i="4" s="1"/>
  <c r="I72" i="4"/>
  <c r="K72" i="4" s="1"/>
  <c r="F72" i="4"/>
  <c r="H72" i="4" s="1"/>
  <c r="D72" i="4"/>
  <c r="C72" i="4"/>
  <c r="X70" i="4"/>
  <c r="Z70" i="4" s="1"/>
  <c r="U70" i="4"/>
  <c r="W70" i="4" s="1"/>
  <c r="R70" i="4"/>
  <c r="T70" i="4" s="1"/>
  <c r="O70" i="4"/>
  <c r="Q70" i="4" s="1"/>
  <c r="L70" i="4"/>
  <c r="N70" i="4" s="1"/>
  <c r="I70" i="4"/>
  <c r="K70" i="4" s="1"/>
  <c r="F70" i="4"/>
  <c r="H70" i="4" s="1"/>
  <c r="D70" i="4"/>
  <c r="X69" i="4"/>
  <c r="Z69" i="4" s="1"/>
  <c r="U69" i="4"/>
  <c r="W69" i="4" s="1"/>
  <c r="R69" i="4"/>
  <c r="T69" i="4" s="1"/>
  <c r="O69" i="4"/>
  <c r="Q69" i="4" s="1"/>
  <c r="L69" i="4"/>
  <c r="N69" i="4" s="1"/>
  <c r="I69" i="4"/>
  <c r="K69" i="4" s="1"/>
  <c r="F69" i="4"/>
  <c r="H69" i="4" s="1"/>
  <c r="D69" i="4"/>
  <c r="X68" i="4"/>
  <c r="Z68" i="4" s="1"/>
  <c r="U68" i="4"/>
  <c r="W68" i="4" s="1"/>
  <c r="R68" i="4"/>
  <c r="T68" i="4" s="1"/>
  <c r="O68" i="4"/>
  <c r="Q68" i="4" s="1"/>
  <c r="L68" i="4"/>
  <c r="N68" i="4" s="1"/>
  <c r="I68" i="4"/>
  <c r="K68" i="4" s="1"/>
  <c r="F68" i="4"/>
  <c r="H68" i="4" s="1"/>
  <c r="D68" i="4"/>
  <c r="X67" i="4"/>
  <c r="Z67" i="4" s="1"/>
  <c r="U67" i="4"/>
  <c r="W67" i="4" s="1"/>
  <c r="R67" i="4"/>
  <c r="T67" i="4" s="1"/>
  <c r="O67" i="4"/>
  <c r="Q67" i="4" s="1"/>
  <c r="L67" i="4"/>
  <c r="N67" i="4" s="1"/>
  <c r="I67" i="4"/>
  <c r="K67" i="4" s="1"/>
  <c r="F67" i="4"/>
  <c r="H67" i="4" s="1"/>
  <c r="D67" i="4"/>
  <c r="X66" i="4"/>
  <c r="Z66" i="4" s="1"/>
  <c r="U66" i="4"/>
  <c r="W66" i="4" s="1"/>
  <c r="R66" i="4"/>
  <c r="T66" i="4" s="1"/>
  <c r="O66" i="4"/>
  <c r="Q66" i="4" s="1"/>
  <c r="L66" i="4"/>
  <c r="N66" i="4" s="1"/>
  <c r="I66" i="4"/>
  <c r="K66" i="4" s="1"/>
  <c r="F66" i="4"/>
  <c r="H66" i="4" s="1"/>
  <c r="D66" i="4"/>
  <c r="X61" i="4"/>
  <c r="Z61" i="4" s="1"/>
  <c r="U61" i="4"/>
  <c r="W61" i="4" s="1"/>
  <c r="R61" i="4"/>
  <c r="T61" i="4" s="1"/>
  <c r="O61" i="4"/>
  <c r="Q61" i="4" s="1"/>
  <c r="L61" i="4"/>
  <c r="N61" i="4" s="1"/>
  <c r="I61" i="4"/>
  <c r="K61" i="4" s="1"/>
  <c r="F61" i="4"/>
  <c r="H61" i="4" s="1"/>
  <c r="D61" i="4"/>
  <c r="X60" i="4"/>
  <c r="Z60" i="4" s="1"/>
  <c r="U60" i="4"/>
  <c r="W60" i="4" s="1"/>
  <c r="R60" i="4"/>
  <c r="T60" i="4" s="1"/>
  <c r="O60" i="4"/>
  <c r="Q60" i="4" s="1"/>
  <c r="L60" i="4"/>
  <c r="N60" i="4" s="1"/>
  <c r="I60" i="4"/>
  <c r="K60" i="4" s="1"/>
  <c r="F60" i="4"/>
  <c r="H60" i="4" s="1"/>
  <c r="D60" i="4"/>
  <c r="C60" i="4"/>
  <c r="X58" i="4"/>
  <c r="Z58" i="4" s="1"/>
  <c r="U58" i="4"/>
  <c r="W58" i="4" s="1"/>
  <c r="R58" i="4"/>
  <c r="T58" i="4" s="1"/>
  <c r="O58" i="4"/>
  <c r="Q58" i="4" s="1"/>
  <c r="L58" i="4"/>
  <c r="N58" i="4" s="1"/>
  <c r="I58" i="4"/>
  <c r="K58" i="4" s="1"/>
  <c r="F58" i="4"/>
  <c r="H58" i="4" s="1"/>
  <c r="D58" i="4"/>
  <c r="X57" i="4"/>
  <c r="Z57" i="4" s="1"/>
  <c r="U57" i="4"/>
  <c r="W57" i="4" s="1"/>
  <c r="R57" i="4"/>
  <c r="T57" i="4" s="1"/>
  <c r="O57" i="4"/>
  <c r="Q57" i="4" s="1"/>
  <c r="L57" i="4"/>
  <c r="N57" i="4" s="1"/>
  <c r="I57" i="4"/>
  <c r="K57" i="4" s="1"/>
  <c r="F57" i="4"/>
  <c r="H57" i="4" s="1"/>
  <c r="D57" i="4"/>
  <c r="X56" i="4"/>
  <c r="Z56" i="4" s="1"/>
  <c r="U56" i="4"/>
  <c r="W56" i="4" s="1"/>
  <c r="R56" i="4"/>
  <c r="T56" i="4" s="1"/>
  <c r="O56" i="4"/>
  <c r="Q56" i="4" s="1"/>
  <c r="L56" i="4"/>
  <c r="N56" i="4" s="1"/>
  <c r="I56" i="4"/>
  <c r="K56" i="4" s="1"/>
  <c r="F56" i="4"/>
  <c r="H56" i="4" s="1"/>
  <c r="D56" i="4"/>
  <c r="X55" i="4"/>
  <c r="Z55" i="4" s="1"/>
  <c r="U55" i="4"/>
  <c r="W55" i="4" s="1"/>
  <c r="R55" i="4"/>
  <c r="T55" i="4" s="1"/>
  <c r="O55" i="4"/>
  <c r="Q55" i="4" s="1"/>
  <c r="L55" i="4"/>
  <c r="N55" i="4" s="1"/>
  <c r="I55" i="4"/>
  <c r="K55" i="4" s="1"/>
  <c r="F55" i="4"/>
  <c r="H55" i="4" s="1"/>
  <c r="D55" i="4"/>
  <c r="X54" i="4"/>
  <c r="Z54" i="4" s="1"/>
  <c r="U54" i="4"/>
  <c r="W54" i="4" s="1"/>
  <c r="R54" i="4"/>
  <c r="T54" i="4" s="1"/>
  <c r="O54" i="4"/>
  <c r="Q54" i="4" s="1"/>
  <c r="L54" i="4"/>
  <c r="N54" i="4" s="1"/>
  <c r="I54" i="4"/>
  <c r="K54" i="4" s="1"/>
  <c r="F54" i="4"/>
  <c r="H54" i="4" s="1"/>
  <c r="D54" i="4"/>
  <c r="X49" i="4"/>
  <c r="Z49" i="4" s="1"/>
  <c r="U49" i="4"/>
  <c r="W49" i="4" s="1"/>
  <c r="R49" i="4"/>
  <c r="T49" i="4" s="1"/>
  <c r="O49" i="4"/>
  <c r="Q49" i="4" s="1"/>
  <c r="L49" i="4"/>
  <c r="N49" i="4" s="1"/>
  <c r="I49" i="4"/>
  <c r="K49" i="4" s="1"/>
  <c r="F49" i="4"/>
  <c r="H49" i="4" s="1"/>
  <c r="D49" i="4"/>
  <c r="X48" i="4"/>
  <c r="Z48" i="4" s="1"/>
  <c r="U48" i="4"/>
  <c r="W48" i="4" s="1"/>
  <c r="R48" i="4"/>
  <c r="T48" i="4" s="1"/>
  <c r="O48" i="4"/>
  <c r="Q48" i="4" s="1"/>
  <c r="L48" i="4"/>
  <c r="N48" i="4" s="1"/>
  <c r="I48" i="4"/>
  <c r="K48" i="4" s="1"/>
  <c r="F48" i="4"/>
  <c r="H48" i="4" s="1"/>
  <c r="D48" i="4"/>
  <c r="C48" i="4"/>
  <c r="X46" i="4"/>
  <c r="Z46" i="4" s="1"/>
  <c r="U46" i="4"/>
  <c r="W46" i="4" s="1"/>
  <c r="R46" i="4"/>
  <c r="T46" i="4" s="1"/>
  <c r="O46" i="4"/>
  <c r="Q46" i="4" s="1"/>
  <c r="L46" i="4"/>
  <c r="N46" i="4" s="1"/>
  <c r="I46" i="4"/>
  <c r="K46" i="4" s="1"/>
  <c r="F46" i="4"/>
  <c r="H46" i="4" s="1"/>
  <c r="D46" i="4"/>
  <c r="X45" i="4"/>
  <c r="Z45" i="4" s="1"/>
  <c r="U45" i="4"/>
  <c r="W45" i="4" s="1"/>
  <c r="R45" i="4"/>
  <c r="T45" i="4" s="1"/>
  <c r="O45" i="4"/>
  <c r="Q45" i="4" s="1"/>
  <c r="L45" i="4"/>
  <c r="N45" i="4" s="1"/>
  <c r="I45" i="4"/>
  <c r="K45" i="4" s="1"/>
  <c r="F45" i="4"/>
  <c r="H45" i="4" s="1"/>
  <c r="D45" i="4"/>
  <c r="X44" i="4"/>
  <c r="Z44" i="4" s="1"/>
  <c r="U44" i="4"/>
  <c r="W44" i="4" s="1"/>
  <c r="R44" i="4"/>
  <c r="T44" i="4" s="1"/>
  <c r="O44" i="4"/>
  <c r="Q44" i="4" s="1"/>
  <c r="L44" i="4"/>
  <c r="N44" i="4" s="1"/>
  <c r="I44" i="4"/>
  <c r="K44" i="4" s="1"/>
  <c r="F44" i="4"/>
  <c r="H44" i="4" s="1"/>
  <c r="D44" i="4"/>
  <c r="X43" i="4"/>
  <c r="Z43" i="4" s="1"/>
  <c r="U43" i="4"/>
  <c r="W43" i="4" s="1"/>
  <c r="R43" i="4"/>
  <c r="T43" i="4" s="1"/>
  <c r="O43" i="4"/>
  <c r="Q43" i="4" s="1"/>
  <c r="L43" i="4"/>
  <c r="N43" i="4" s="1"/>
  <c r="I43" i="4"/>
  <c r="K43" i="4" s="1"/>
  <c r="F43" i="4"/>
  <c r="H43" i="4" s="1"/>
  <c r="D43" i="4"/>
  <c r="X42" i="4"/>
  <c r="Z42" i="4" s="1"/>
  <c r="U42" i="4"/>
  <c r="W42" i="4" s="1"/>
  <c r="R42" i="4"/>
  <c r="T42" i="4" s="1"/>
  <c r="O42" i="4"/>
  <c r="Q42" i="4" s="1"/>
  <c r="L42" i="4"/>
  <c r="N42" i="4" s="1"/>
  <c r="I42" i="4"/>
  <c r="K42" i="4" s="1"/>
  <c r="F42" i="4"/>
  <c r="H42" i="4" s="1"/>
  <c r="D42" i="4"/>
  <c r="X37" i="4"/>
  <c r="Z37" i="4" s="1"/>
  <c r="U37" i="4"/>
  <c r="W37" i="4" s="1"/>
  <c r="R37" i="4"/>
  <c r="T37" i="4" s="1"/>
  <c r="O37" i="4"/>
  <c r="Q37" i="4" s="1"/>
  <c r="L37" i="4"/>
  <c r="N37" i="4" s="1"/>
  <c r="I37" i="4"/>
  <c r="K37" i="4" s="1"/>
  <c r="F37" i="4"/>
  <c r="H37" i="4" s="1"/>
  <c r="D37" i="4"/>
  <c r="X36" i="4"/>
  <c r="Z36" i="4" s="1"/>
  <c r="U36" i="4"/>
  <c r="W36" i="4" s="1"/>
  <c r="R36" i="4"/>
  <c r="T36" i="4" s="1"/>
  <c r="O36" i="4"/>
  <c r="Q36" i="4" s="1"/>
  <c r="L36" i="4"/>
  <c r="N36" i="4" s="1"/>
  <c r="I36" i="4"/>
  <c r="K36" i="4" s="1"/>
  <c r="F36" i="4"/>
  <c r="H36" i="4" s="1"/>
  <c r="D36" i="4"/>
  <c r="C36" i="4"/>
  <c r="X34" i="4"/>
  <c r="Z34" i="4" s="1"/>
  <c r="U34" i="4"/>
  <c r="W34" i="4" s="1"/>
  <c r="R34" i="4"/>
  <c r="T34" i="4" s="1"/>
  <c r="O34" i="4"/>
  <c r="Q34" i="4" s="1"/>
  <c r="L34" i="4"/>
  <c r="N34" i="4" s="1"/>
  <c r="I34" i="4"/>
  <c r="K34" i="4" s="1"/>
  <c r="F34" i="4"/>
  <c r="H34" i="4" s="1"/>
  <c r="D34" i="4"/>
  <c r="X33" i="4"/>
  <c r="Z33" i="4" s="1"/>
  <c r="U33" i="4"/>
  <c r="W33" i="4" s="1"/>
  <c r="R33" i="4"/>
  <c r="T33" i="4" s="1"/>
  <c r="O33" i="4"/>
  <c r="Q33" i="4" s="1"/>
  <c r="L33" i="4"/>
  <c r="N33" i="4" s="1"/>
  <c r="I33" i="4"/>
  <c r="K33" i="4" s="1"/>
  <c r="F33" i="4"/>
  <c r="H33" i="4" s="1"/>
  <c r="D33" i="4"/>
  <c r="X32" i="4"/>
  <c r="Z32" i="4" s="1"/>
  <c r="U32" i="4"/>
  <c r="W32" i="4" s="1"/>
  <c r="R32" i="4"/>
  <c r="T32" i="4" s="1"/>
  <c r="O32" i="4"/>
  <c r="Q32" i="4" s="1"/>
  <c r="L32" i="4"/>
  <c r="N32" i="4" s="1"/>
  <c r="I32" i="4"/>
  <c r="K32" i="4" s="1"/>
  <c r="F32" i="4"/>
  <c r="H32" i="4" s="1"/>
  <c r="D32" i="4"/>
  <c r="X31" i="4"/>
  <c r="Z31" i="4" s="1"/>
  <c r="U31" i="4"/>
  <c r="W31" i="4" s="1"/>
  <c r="R31" i="4"/>
  <c r="T31" i="4" s="1"/>
  <c r="O31" i="4"/>
  <c r="Q31" i="4" s="1"/>
  <c r="L31" i="4"/>
  <c r="N31" i="4" s="1"/>
  <c r="I31" i="4"/>
  <c r="K31" i="4" s="1"/>
  <c r="F31" i="4"/>
  <c r="H31" i="4" s="1"/>
  <c r="D31" i="4"/>
  <c r="X30" i="4"/>
  <c r="Z30" i="4" s="1"/>
  <c r="U30" i="4"/>
  <c r="W30" i="4" s="1"/>
  <c r="R30" i="4"/>
  <c r="T30" i="4" s="1"/>
  <c r="O30" i="4"/>
  <c r="Q30" i="4" s="1"/>
  <c r="L30" i="4"/>
  <c r="N30" i="4" s="1"/>
  <c r="I30" i="4"/>
  <c r="K30" i="4" s="1"/>
  <c r="F30" i="4"/>
  <c r="H30" i="4" s="1"/>
  <c r="D30" i="4"/>
  <c r="X25" i="4"/>
  <c r="Z25" i="4" s="1"/>
  <c r="U25" i="4"/>
  <c r="W25" i="4" s="1"/>
  <c r="R25" i="4"/>
  <c r="T25" i="4" s="1"/>
  <c r="O25" i="4"/>
  <c r="Q25" i="4" s="1"/>
  <c r="L25" i="4"/>
  <c r="N25" i="4" s="1"/>
  <c r="I25" i="4"/>
  <c r="K25" i="4" s="1"/>
  <c r="F25" i="4"/>
  <c r="H25" i="4" s="1"/>
  <c r="D25" i="4"/>
  <c r="X24" i="4"/>
  <c r="Z24" i="4" s="1"/>
  <c r="U24" i="4"/>
  <c r="W24" i="4" s="1"/>
  <c r="R24" i="4"/>
  <c r="T24" i="4" s="1"/>
  <c r="O24" i="4"/>
  <c r="Q24" i="4" s="1"/>
  <c r="L24" i="4"/>
  <c r="N24" i="4" s="1"/>
  <c r="I24" i="4"/>
  <c r="K24" i="4" s="1"/>
  <c r="F24" i="4"/>
  <c r="H24" i="4" s="1"/>
  <c r="D24" i="4"/>
  <c r="C24" i="4"/>
  <c r="X22" i="4"/>
  <c r="Z22" i="4" s="1"/>
  <c r="U22" i="4"/>
  <c r="W22" i="4" s="1"/>
  <c r="R22" i="4"/>
  <c r="T22" i="4" s="1"/>
  <c r="O22" i="4"/>
  <c r="Q22" i="4" s="1"/>
  <c r="L22" i="4"/>
  <c r="N22" i="4" s="1"/>
  <c r="I22" i="4"/>
  <c r="K22" i="4" s="1"/>
  <c r="F22" i="4"/>
  <c r="H22" i="4" s="1"/>
  <c r="D22" i="4"/>
  <c r="X21" i="4"/>
  <c r="Z21" i="4" s="1"/>
  <c r="U21" i="4"/>
  <c r="W21" i="4" s="1"/>
  <c r="R21" i="4"/>
  <c r="T21" i="4" s="1"/>
  <c r="O21" i="4"/>
  <c r="Q21" i="4" s="1"/>
  <c r="L21" i="4"/>
  <c r="N21" i="4" s="1"/>
  <c r="I21" i="4"/>
  <c r="K21" i="4" s="1"/>
  <c r="F21" i="4"/>
  <c r="H21" i="4" s="1"/>
  <c r="D21" i="4"/>
  <c r="X20" i="4"/>
  <c r="Z20" i="4" s="1"/>
  <c r="U20" i="4"/>
  <c r="W20" i="4" s="1"/>
  <c r="R20" i="4"/>
  <c r="T20" i="4" s="1"/>
  <c r="O20" i="4"/>
  <c r="Q20" i="4" s="1"/>
  <c r="L20" i="4"/>
  <c r="N20" i="4" s="1"/>
  <c r="I20" i="4"/>
  <c r="K20" i="4" s="1"/>
  <c r="F20" i="4"/>
  <c r="H20" i="4" s="1"/>
  <c r="D20" i="4"/>
  <c r="X19" i="4"/>
  <c r="Z19" i="4" s="1"/>
  <c r="U19" i="4"/>
  <c r="W19" i="4" s="1"/>
  <c r="R19" i="4"/>
  <c r="T19" i="4" s="1"/>
  <c r="O19" i="4"/>
  <c r="Q19" i="4" s="1"/>
  <c r="L19" i="4"/>
  <c r="N19" i="4" s="1"/>
  <c r="I19" i="4"/>
  <c r="K19" i="4" s="1"/>
  <c r="F19" i="4"/>
  <c r="H19" i="4" s="1"/>
  <c r="D19" i="4"/>
  <c r="X18" i="4"/>
  <c r="Z18" i="4" s="1"/>
  <c r="U18" i="4"/>
  <c r="W18" i="4" s="1"/>
  <c r="R18" i="4"/>
  <c r="T18" i="4" s="1"/>
  <c r="O18" i="4"/>
  <c r="Q18" i="4" s="1"/>
  <c r="L18" i="4"/>
  <c r="N18" i="4" s="1"/>
  <c r="I18" i="4"/>
  <c r="K18" i="4" s="1"/>
  <c r="F18" i="4"/>
  <c r="H18" i="4" s="1"/>
  <c r="D18" i="4"/>
  <c r="X13" i="4"/>
  <c r="U13" i="4"/>
  <c r="R13" i="4"/>
  <c r="T13" i="4" s="1"/>
  <c r="O13" i="4"/>
  <c r="Q13" i="4" s="1"/>
  <c r="L13" i="4"/>
  <c r="N13" i="4" s="1"/>
  <c r="I13" i="4"/>
  <c r="F13" i="4"/>
  <c r="D13" i="4"/>
  <c r="X12" i="4"/>
  <c r="Z12" i="4" s="1"/>
  <c r="U12" i="4"/>
  <c r="W12" i="4" s="1"/>
  <c r="R12" i="4"/>
  <c r="T12" i="4" s="1"/>
  <c r="O12" i="4"/>
  <c r="Q12" i="4" s="1"/>
  <c r="L12" i="4"/>
  <c r="N12" i="4" s="1"/>
  <c r="I12" i="4"/>
  <c r="F12" i="4"/>
  <c r="H12" i="4" s="1"/>
  <c r="D12" i="4"/>
  <c r="C12" i="4"/>
  <c r="X10" i="4"/>
  <c r="U10" i="4"/>
  <c r="R10" i="4"/>
  <c r="T10" i="4" s="1"/>
  <c r="O10" i="4"/>
  <c r="L10" i="4"/>
  <c r="N10" i="4" s="1"/>
  <c r="I10" i="4"/>
  <c r="F10" i="4"/>
  <c r="H10" i="4" s="1"/>
  <c r="D10" i="4"/>
  <c r="X9" i="4"/>
  <c r="Z9" i="4" s="1"/>
  <c r="U9" i="4"/>
  <c r="R9" i="4"/>
  <c r="T9" i="4" s="1"/>
  <c r="O9" i="4"/>
  <c r="Q9" i="4" s="1"/>
  <c r="L9" i="4"/>
  <c r="N9" i="4" s="1"/>
  <c r="I9" i="4"/>
  <c r="F9" i="4"/>
  <c r="H9" i="4" s="1"/>
  <c r="D9" i="4"/>
  <c r="X8" i="4"/>
  <c r="U8" i="4"/>
  <c r="W8" i="4" s="1"/>
  <c r="R8" i="4"/>
  <c r="T8" i="4" s="1"/>
  <c r="O8" i="4"/>
  <c r="L8" i="4"/>
  <c r="I8" i="4"/>
  <c r="F8" i="4"/>
  <c r="H8" i="4" s="1"/>
  <c r="D8" i="4"/>
  <c r="X7" i="4"/>
  <c r="Z7" i="4" s="1"/>
  <c r="U7" i="4"/>
  <c r="R7" i="4"/>
  <c r="T7" i="4" s="1"/>
  <c r="O7" i="4"/>
  <c r="Q7" i="4" s="1"/>
  <c r="L7" i="4"/>
  <c r="N7" i="4" s="1"/>
  <c r="I7" i="4"/>
  <c r="F7" i="4"/>
  <c r="H7" i="4" s="1"/>
  <c r="D7" i="4"/>
  <c r="X6" i="4"/>
  <c r="Z6" i="4" s="1"/>
  <c r="U6" i="4"/>
  <c r="W6" i="4" s="1"/>
  <c r="R6" i="4"/>
  <c r="T6" i="4" s="1"/>
  <c r="O6" i="4"/>
  <c r="L6" i="4"/>
  <c r="N6" i="4" s="1"/>
  <c r="I6" i="4"/>
  <c r="F6" i="4"/>
  <c r="D6" i="4"/>
  <c r="Y58" i="3"/>
  <c r="V38" i="5" s="1"/>
  <c r="V58" i="3"/>
  <c r="S38" i="5" s="1"/>
  <c r="S58" i="3"/>
  <c r="P38" i="5" s="1"/>
  <c r="P58" i="3"/>
  <c r="M38" i="5" s="1"/>
  <c r="M58" i="3"/>
  <c r="J38" i="5" s="1"/>
  <c r="J58" i="3"/>
  <c r="G38" i="5" s="1"/>
  <c r="G58" i="3"/>
  <c r="D38" i="5" s="1"/>
  <c r="Y57" i="3"/>
  <c r="V37" i="5" s="1"/>
  <c r="AB3" i="8" s="1"/>
  <c r="V57" i="3"/>
  <c r="S37" i="5" s="1"/>
  <c r="Y3" i="8" s="1"/>
  <c r="S57" i="3"/>
  <c r="P37" i="5" s="1"/>
  <c r="V3" i="8" s="1"/>
  <c r="P57" i="3"/>
  <c r="M37" i="5" s="1"/>
  <c r="S3" i="8" s="1"/>
  <c r="M57" i="3"/>
  <c r="J37" i="5" s="1"/>
  <c r="P3" i="8" s="1"/>
  <c r="J57" i="3"/>
  <c r="G37" i="5" s="1"/>
  <c r="M3" i="8" s="1"/>
  <c r="G57" i="3"/>
  <c r="D37" i="5" s="1"/>
  <c r="Y56" i="3"/>
  <c r="V36" i="5" s="1"/>
  <c r="AB6" i="8" s="1"/>
  <c r="V56" i="3"/>
  <c r="S36" i="5" s="1"/>
  <c r="Y6" i="8" s="1"/>
  <c r="S56" i="3"/>
  <c r="P36" i="5" s="1"/>
  <c r="V6" i="8" s="1"/>
  <c r="P56" i="3"/>
  <c r="M36" i="5" s="1"/>
  <c r="S6" i="8" s="1"/>
  <c r="M56" i="3"/>
  <c r="J36" i="5" s="1"/>
  <c r="P6" i="8" s="1"/>
  <c r="J56" i="3"/>
  <c r="G36" i="5" s="1"/>
  <c r="M6" i="8" s="1"/>
  <c r="G56" i="3"/>
  <c r="D36" i="5" s="1"/>
  <c r="Y55" i="3"/>
  <c r="V35" i="5" s="1"/>
  <c r="V55" i="3"/>
  <c r="S35" i="5" s="1"/>
  <c r="S55" i="3"/>
  <c r="P35" i="5" s="1"/>
  <c r="P55" i="3"/>
  <c r="M35" i="5" s="1"/>
  <c r="M55" i="3"/>
  <c r="J35" i="5" s="1"/>
  <c r="J55" i="3"/>
  <c r="G35" i="5" s="1"/>
  <c r="G55" i="3"/>
  <c r="D35" i="5" s="1"/>
  <c r="Y54" i="3"/>
  <c r="V34" i="5" s="1"/>
  <c r="V54" i="3"/>
  <c r="S34" i="5" s="1"/>
  <c r="S54" i="3"/>
  <c r="P34" i="5" s="1"/>
  <c r="P54" i="3"/>
  <c r="M34" i="5" s="1"/>
  <c r="M54" i="3"/>
  <c r="J34" i="5" s="1"/>
  <c r="J54" i="3"/>
  <c r="G34" i="5" s="1"/>
  <c r="G54" i="3"/>
  <c r="D34" i="5" s="1"/>
  <c r="Y53" i="3"/>
  <c r="V33" i="5" s="1"/>
  <c r="AB5" i="8" s="1"/>
  <c r="V53" i="3"/>
  <c r="S33" i="5" s="1"/>
  <c r="Y5" i="8" s="1"/>
  <c r="S53" i="3"/>
  <c r="P33" i="5" s="1"/>
  <c r="V5" i="8" s="1"/>
  <c r="P53" i="3"/>
  <c r="M33" i="5" s="1"/>
  <c r="S5" i="8" s="1"/>
  <c r="M53" i="3"/>
  <c r="J33" i="5" s="1"/>
  <c r="P5" i="8" s="1"/>
  <c r="J53" i="3"/>
  <c r="G33" i="5" s="1"/>
  <c r="M5" i="8" s="1"/>
  <c r="G53" i="3"/>
  <c r="D33" i="5" s="1"/>
  <c r="Y52" i="3"/>
  <c r="V32" i="5" s="1"/>
  <c r="V52" i="3"/>
  <c r="S32" i="5" s="1"/>
  <c r="S52" i="3"/>
  <c r="P32" i="5" s="1"/>
  <c r="P52" i="3"/>
  <c r="M32" i="5" s="1"/>
  <c r="M52" i="3"/>
  <c r="J32" i="5" s="1"/>
  <c r="J52" i="3"/>
  <c r="G32" i="5" s="1"/>
  <c r="G52" i="3"/>
  <c r="D32" i="5" s="1"/>
  <c r="Y51" i="3"/>
  <c r="V51" i="3"/>
  <c r="S31" i="5" s="1"/>
  <c r="S51" i="3"/>
  <c r="P51" i="3"/>
  <c r="M51" i="3"/>
  <c r="J51" i="3"/>
  <c r="G51" i="3"/>
  <c r="D31" i="5" s="1"/>
  <c r="Y50" i="3"/>
  <c r="V50" i="3"/>
  <c r="S30" i="5" s="1"/>
  <c r="S50" i="3"/>
  <c r="P30" i="5" s="1"/>
  <c r="P50" i="3"/>
  <c r="M30" i="5" s="1"/>
  <c r="M50" i="3"/>
  <c r="J30" i="5" s="1"/>
  <c r="J50" i="3"/>
  <c r="G30" i="5" s="1"/>
  <c r="G50" i="3"/>
  <c r="D30" i="5" s="1"/>
  <c r="Y48" i="3"/>
  <c r="V28" i="5" s="1"/>
  <c r="V48" i="3"/>
  <c r="S28" i="5" s="1"/>
  <c r="S48" i="3"/>
  <c r="P28" i="5" s="1"/>
  <c r="P48" i="3"/>
  <c r="M28" i="5" s="1"/>
  <c r="M48" i="3"/>
  <c r="J28" i="5" s="1"/>
  <c r="J48" i="3"/>
  <c r="G28" i="5" s="1"/>
  <c r="G48" i="3"/>
  <c r="D28" i="5" s="1"/>
  <c r="Y47" i="3"/>
  <c r="V27" i="5" s="1"/>
  <c r="AB10" i="8" s="1"/>
  <c r="V47" i="3"/>
  <c r="S27" i="5" s="1"/>
  <c r="Y10" i="8" s="1"/>
  <c r="S47" i="3"/>
  <c r="P27" i="5" s="1"/>
  <c r="V10" i="8" s="1"/>
  <c r="P47" i="3"/>
  <c r="M47" i="3"/>
  <c r="J27" i="5" s="1"/>
  <c r="P10" i="8" s="1"/>
  <c r="J47" i="3"/>
  <c r="G27" i="5" s="1"/>
  <c r="M10" i="8" s="1"/>
  <c r="G47" i="3"/>
  <c r="D27" i="5" s="1"/>
  <c r="Y46" i="3"/>
  <c r="V26" i="5" s="1"/>
  <c r="V46" i="3"/>
  <c r="S26" i="5" s="1"/>
  <c r="S46" i="3"/>
  <c r="P26" i="5" s="1"/>
  <c r="P46" i="3"/>
  <c r="M26" i="5" s="1"/>
  <c r="M46" i="3"/>
  <c r="J26" i="5" s="1"/>
  <c r="J46" i="3"/>
  <c r="G26" i="5" s="1"/>
  <c r="G46" i="3"/>
  <c r="D26" i="5" s="1"/>
  <c r="Y45" i="3"/>
  <c r="V25" i="5" s="1"/>
  <c r="V45" i="3"/>
  <c r="S25" i="5" s="1"/>
  <c r="S45" i="3"/>
  <c r="P25" i="5" s="1"/>
  <c r="P45" i="3"/>
  <c r="M25" i="5" s="1"/>
  <c r="M45" i="3"/>
  <c r="J25" i="5" s="1"/>
  <c r="J45" i="3"/>
  <c r="G25" i="5" s="1"/>
  <c r="G45" i="3"/>
  <c r="D25" i="5" s="1"/>
  <c r="Y44" i="3"/>
  <c r="V24" i="5" s="1"/>
  <c r="V44" i="3"/>
  <c r="S24" i="5" s="1"/>
  <c r="S44" i="3"/>
  <c r="P24" i="5" s="1"/>
  <c r="P44" i="3"/>
  <c r="M24" i="5" s="1"/>
  <c r="M44" i="3"/>
  <c r="J24" i="5" s="1"/>
  <c r="J44" i="3"/>
  <c r="G24" i="5" s="1"/>
  <c r="G44" i="3"/>
  <c r="D39" i="3"/>
  <c r="X38" i="3"/>
  <c r="Z38" i="3" s="1"/>
  <c r="U38" i="3"/>
  <c r="W38" i="3" s="1"/>
  <c r="R38" i="3"/>
  <c r="T38" i="3" s="1"/>
  <c r="O38" i="3"/>
  <c r="Q38" i="3" s="1"/>
  <c r="L38" i="3"/>
  <c r="N38" i="3" s="1"/>
  <c r="I38" i="3"/>
  <c r="K38" i="3" s="1"/>
  <c r="F38" i="3"/>
  <c r="H38" i="3" s="1"/>
  <c r="D38" i="3"/>
  <c r="X37" i="3"/>
  <c r="Z37" i="3" s="1"/>
  <c r="U37" i="3"/>
  <c r="W37" i="3" s="1"/>
  <c r="R37" i="3"/>
  <c r="T37" i="3" s="1"/>
  <c r="O37" i="3"/>
  <c r="Q37" i="3" s="1"/>
  <c r="L37" i="3"/>
  <c r="N37" i="3" s="1"/>
  <c r="I37" i="3"/>
  <c r="K37" i="3" s="1"/>
  <c r="F37" i="3"/>
  <c r="H37" i="3" s="1"/>
  <c r="D37" i="3"/>
  <c r="X36" i="3"/>
  <c r="Z36" i="3" s="1"/>
  <c r="U36" i="3"/>
  <c r="W36" i="3" s="1"/>
  <c r="R36" i="3"/>
  <c r="T36" i="3" s="1"/>
  <c r="O36" i="3"/>
  <c r="Q36" i="3" s="1"/>
  <c r="L36" i="3"/>
  <c r="N36" i="3" s="1"/>
  <c r="I36" i="3"/>
  <c r="K36" i="3" s="1"/>
  <c r="F36" i="3"/>
  <c r="H36" i="3" s="1"/>
  <c r="D36" i="3"/>
  <c r="X35" i="3"/>
  <c r="Z35" i="3" s="1"/>
  <c r="U35" i="3"/>
  <c r="W35" i="3" s="1"/>
  <c r="R35" i="3"/>
  <c r="T35" i="3" s="1"/>
  <c r="O35" i="3"/>
  <c r="Q35" i="3" s="1"/>
  <c r="L35" i="3"/>
  <c r="N35" i="3" s="1"/>
  <c r="I35" i="3"/>
  <c r="K35" i="3" s="1"/>
  <c r="F35" i="3"/>
  <c r="H35" i="3" s="1"/>
  <c r="D35" i="3"/>
  <c r="X34" i="3"/>
  <c r="Z34" i="3" s="1"/>
  <c r="U34" i="3"/>
  <c r="W34" i="3" s="1"/>
  <c r="R34" i="3"/>
  <c r="T34" i="3" s="1"/>
  <c r="O34" i="3"/>
  <c r="Q34" i="3" s="1"/>
  <c r="L34" i="3"/>
  <c r="N34" i="3" s="1"/>
  <c r="I34" i="3"/>
  <c r="K34" i="3" s="1"/>
  <c r="F34" i="3"/>
  <c r="H34" i="3" s="1"/>
  <c r="D34" i="3"/>
  <c r="X33" i="3"/>
  <c r="Z33" i="3" s="1"/>
  <c r="U33" i="3"/>
  <c r="W33" i="3" s="1"/>
  <c r="R33" i="3"/>
  <c r="T33" i="3" s="1"/>
  <c r="O33" i="3"/>
  <c r="Q33" i="3" s="1"/>
  <c r="L33" i="3"/>
  <c r="N33" i="3" s="1"/>
  <c r="I33" i="3"/>
  <c r="K33" i="3" s="1"/>
  <c r="F33" i="3"/>
  <c r="H33" i="3" s="1"/>
  <c r="D33" i="3"/>
  <c r="X32" i="3"/>
  <c r="Z32" i="3" s="1"/>
  <c r="U32" i="3"/>
  <c r="W32" i="3" s="1"/>
  <c r="R32" i="3"/>
  <c r="T32" i="3" s="1"/>
  <c r="O32" i="3"/>
  <c r="Q32" i="3" s="1"/>
  <c r="L32" i="3"/>
  <c r="N32" i="3" s="1"/>
  <c r="I32" i="3"/>
  <c r="K32" i="3" s="1"/>
  <c r="F32" i="3"/>
  <c r="H32" i="3" s="1"/>
  <c r="D32" i="3"/>
  <c r="X31" i="3"/>
  <c r="Z31" i="3" s="1"/>
  <c r="U31" i="3"/>
  <c r="W31" i="3" s="1"/>
  <c r="R31" i="3"/>
  <c r="T31" i="3" s="1"/>
  <c r="O31" i="3"/>
  <c r="Q31" i="3" s="1"/>
  <c r="L31" i="3"/>
  <c r="N31" i="3" s="1"/>
  <c r="I31" i="3"/>
  <c r="K31" i="3" s="1"/>
  <c r="F31" i="3"/>
  <c r="H31" i="3" s="1"/>
  <c r="D31" i="3"/>
  <c r="C31" i="3"/>
  <c r="X29" i="3"/>
  <c r="Z29" i="3" s="1"/>
  <c r="U29" i="3"/>
  <c r="W29" i="3" s="1"/>
  <c r="R29" i="3"/>
  <c r="T29" i="3" s="1"/>
  <c r="O29" i="3"/>
  <c r="Q29" i="3" s="1"/>
  <c r="L29" i="3"/>
  <c r="N29" i="3" s="1"/>
  <c r="I29" i="3"/>
  <c r="K29" i="3" s="1"/>
  <c r="F29" i="3"/>
  <c r="H29" i="3" s="1"/>
  <c r="D29" i="3"/>
  <c r="X28" i="3"/>
  <c r="Z28" i="3" s="1"/>
  <c r="U28" i="3"/>
  <c r="W28" i="3" s="1"/>
  <c r="R28" i="3"/>
  <c r="T28" i="3" s="1"/>
  <c r="O28" i="3"/>
  <c r="Q28" i="3" s="1"/>
  <c r="L28" i="3"/>
  <c r="N28" i="3" s="1"/>
  <c r="I28" i="3"/>
  <c r="K28" i="3" s="1"/>
  <c r="F28" i="3"/>
  <c r="H28" i="3" s="1"/>
  <c r="D28" i="3"/>
  <c r="X27" i="3"/>
  <c r="Z27" i="3" s="1"/>
  <c r="U27" i="3"/>
  <c r="W27" i="3" s="1"/>
  <c r="R27" i="3"/>
  <c r="T27" i="3" s="1"/>
  <c r="O27" i="3"/>
  <c r="Q27" i="3" s="1"/>
  <c r="L27" i="3"/>
  <c r="N27" i="3" s="1"/>
  <c r="I27" i="3"/>
  <c r="K27" i="3" s="1"/>
  <c r="F27" i="3"/>
  <c r="H27" i="3" s="1"/>
  <c r="D27" i="3"/>
  <c r="X26" i="3"/>
  <c r="Z26" i="3" s="1"/>
  <c r="U26" i="3"/>
  <c r="W26" i="3" s="1"/>
  <c r="R26" i="3"/>
  <c r="T26" i="3" s="1"/>
  <c r="O26" i="3"/>
  <c r="Q26" i="3" s="1"/>
  <c r="L26" i="3"/>
  <c r="N26" i="3" s="1"/>
  <c r="I26" i="3"/>
  <c r="K26" i="3" s="1"/>
  <c r="F26" i="3"/>
  <c r="H26" i="3" s="1"/>
  <c r="D26" i="3"/>
  <c r="X25" i="3"/>
  <c r="Z25" i="3" s="1"/>
  <c r="U25" i="3"/>
  <c r="W25" i="3" s="1"/>
  <c r="R25" i="3"/>
  <c r="T25" i="3" s="1"/>
  <c r="O25" i="3"/>
  <c r="Q25" i="3" s="1"/>
  <c r="L25" i="3"/>
  <c r="N25" i="3" s="1"/>
  <c r="I25" i="3"/>
  <c r="K25" i="3" s="1"/>
  <c r="F25" i="3"/>
  <c r="H25" i="3" s="1"/>
  <c r="D25" i="3"/>
  <c r="D20" i="3"/>
  <c r="X19" i="3"/>
  <c r="Z19" i="3" s="1"/>
  <c r="U19" i="3"/>
  <c r="R19" i="3"/>
  <c r="T19" i="3" s="1"/>
  <c r="O19" i="3"/>
  <c r="L19" i="3"/>
  <c r="N19" i="3" s="1"/>
  <c r="I19" i="3"/>
  <c r="F19" i="3"/>
  <c r="D19" i="3"/>
  <c r="X18" i="3"/>
  <c r="Z18" i="3" s="1"/>
  <c r="U18" i="3"/>
  <c r="R18" i="3"/>
  <c r="O18" i="3"/>
  <c r="L18" i="3"/>
  <c r="N18" i="3" s="1"/>
  <c r="I18" i="3"/>
  <c r="F18" i="3"/>
  <c r="H18" i="3" s="1"/>
  <c r="D18" i="3"/>
  <c r="X17" i="3"/>
  <c r="U17" i="3"/>
  <c r="R17" i="3"/>
  <c r="O17" i="3"/>
  <c r="L17" i="3"/>
  <c r="I17" i="3"/>
  <c r="K17" i="3" s="1"/>
  <c r="F17" i="3"/>
  <c r="D17" i="3"/>
  <c r="X16" i="3"/>
  <c r="U16" i="3"/>
  <c r="R16" i="3"/>
  <c r="T16" i="3" s="1"/>
  <c r="O16" i="3"/>
  <c r="L16" i="3"/>
  <c r="N16" i="3" s="1"/>
  <c r="I16" i="3"/>
  <c r="F16" i="3"/>
  <c r="H16" i="3" s="1"/>
  <c r="D16" i="3"/>
  <c r="X15" i="3"/>
  <c r="Z15" i="3" s="1"/>
  <c r="U15" i="3"/>
  <c r="R15" i="3"/>
  <c r="O15" i="3"/>
  <c r="L15" i="3"/>
  <c r="N15" i="3" s="1"/>
  <c r="I15" i="3"/>
  <c r="F15" i="3"/>
  <c r="H15" i="3" s="1"/>
  <c r="D15" i="3"/>
  <c r="X14" i="3"/>
  <c r="U14" i="3"/>
  <c r="W14" i="3" s="1"/>
  <c r="R14" i="3"/>
  <c r="O14" i="3"/>
  <c r="Q14" i="3" s="1"/>
  <c r="L14" i="3"/>
  <c r="I14" i="3"/>
  <c r="K14" i="3" s="1"/>
  <c r="F14" i="3"/>
  <c r="H14" i="3" s="1"/>
  <c r="D14" i="3"/>
  <c r="X13" i="3"/>
  <c r="U13" i="3"/>
  <c r="W13" i="3" s="1"/>
  <c r="R13" i="3"/>
  <c r="O13" i="3"/>
  <c r="L13" i="3"/>
  <c r="I13" i="3"/>
  <c r="F13" i="3"/>
  <c r="H13" i="3" s="1"/>
  <c r="D13" i="3"/>
  <c r="X12" i="3"/>
  <c r="Z12" i="3" s="1"/>
  <c r="U12" i="3"/>
  <c r="W12" i="3" s="1"/>
  <c r="R12" i="3"/>
  <c r="O12" i="3"/>
  <c r="L12" i="3"/>
  <c r="I12" i="3"/>
  <c r="K12" i="3" s="1"/>
  <c r="F12" i="3"/>
  <c r="H12" i="3" s="1"/>
  <c r="D12" i="3"/>
  <c r="C12" i="3"/>
  <c r="X10" i="3"/>
  <c r="U10" i="3"/>
  <c r="W10" i="3" s="1"/>
  <c r="R10" i="3"/>
  <c r="O10" i="3"/>
  <c r="L10" i="3"/>
  <c r="N10" i="3" s="1"/>
  <c r="I10" i="3"/>
  <c r="F10" i="3"/>
  <c r="D10" i="3"/>
  <c r="X9" i="3"/>
  <c r="Z9" i="3" s="1"/>
  <c r="U9" i="3"/>
  <c r="W9" i="3" s="1"/>
  <c r="R9" i="3"/>
  <c r="O9" i="3"/>
  <c r="L9" i="3"/>
  <c r="I9" i="3"/>
  <c r="F9" i="3"/>
  <c r="D9" i="3"/>
  <c r="X8" i="3"/>
  <c r="Z8" i="3" s="1"/>
  <c r="U8" i="3"/>
  <c r="W8" i="3" s="1"/>
  <c r="R8" i="3"/>
  <c r="O8" i="3"/>
  <c r="L8" i="3"/>
  <c r="I8" i="3"/>
  <c r="K8" i="3" s="1"/>
  <c r="F8" i="3"/>
  <c r="D8" i="3"/>
  <c r="X7" i="3"/>
  <c r="U7" i="3"/>
  <c r="W7" i="3" s="1"/>
  <c r="R7" i="3"/>
  <c r="T7" i="3" s="1"/>
  <c r="O7" i="3"/>
  <c r="Q7" i="3" s="1"/>
  <c r="L7" i="3"/>
  <c r="I7" i="3"/>
  <c r="F7" i="3"/>
  <c r="H7" i="3" s="1"/>
  <c r="D7" i="3"/>
  <c r="X6" i="3"/>
  <c r="U6" i="3"/>
  <c r="R6" i="3"/>
  <c r="O6" i="3"/>
  <c r="Q6" i="3" s="1"/>
  <c r="L6" i="3"/>
  <c r="I6" i="3"/>
  <c r="F6" i="3"/>
  <c r="D6" i="3"/>
  <c r="T16" i="2"/>
  <c r="X39" i="3" s="1"/>
  <c r="Z39" i="3" s="1"/>
  <c r="S16" i="2"/>
  <c r="U39" i="3" s="1"/>
  <c r="W39" i="3" s="1"/>
  <c r="R16" i="2"/>
  <c r="R39" i="3" s="1"/>
  <c r="T39" i="3" s="1"/>
  <c r="Q16" i="2"/>
  <c r="O39" i="3" s="1"/>
  <c r="Q39" i="3" s="1"/>
  <c r="P16" i="2"/>
  <c r="L39" i="3" s="1"/>
  <c r="N39" i="3" s="1"/>
  <c r="O16" i="2"/>
  <c r="I39" i="3" s="1"/>
  <c r="K39" i="3" s="1"/>
  <c r="N16" i="2"/>
  <c r="F39" i="3" s="1"/>
  <c r="H39" i="3" s="1"/>
  <c r="L16" i="2"/>
  <c r="X20" i="3" s="1"/>
  <c r="K16" i="2"/>
  <c r="U20" i="3" s="1"/>
  <c r="J16" i="2"/>
  <c r="R20" i="3" s="1"/>
  <c r="I16" i="2"/>
  <c r="O20" i="3" s="1"/>
  <c r="H16" i="2"/>
  <c r="L20" i="3" s="1"/>
  <c r="G16" i="2"/>
  <c r="I20" i="3" s="1"/>
  <c r="F16" i="2"/>
  <c r="F20" i="3" s="1"/>
  <c r="M15" i="2"/>
  <c r="C38" i="3" s="1"/>
  <c r="E15" i="2"/>
  <c r="C19" i="3" s="1"/>
  <c r="M14" i="2"/>
  <c r="C37" i="3" s="1"/>
  <c r="E14" i="2"/>
  <c r="C18" i="3" s="1"/>
  <c r="M13" i="2"/>
  <c r="C36" i="3" s="1"/>
  <c r="E13" i="2"/>
  <c r="C17" i="3" s="1"/>
  <c r="M12" i="2"/>
  <c r="C35" i="3" s="1"/>
  <c r="E12" i="2"/>
  <c r="C16" i="3" s="1"/>
  <c r="M11" i="2"/>
  <c r="C34" i="3" s="1"/>
  <c r="E11" i="2"/>
  <c r="M10" i="2"/>
  <c r="C33" i="3" s="1"/>
  <c r="E10" i="2"/>
  <c r="C14" i="3" s="1"/>
  <c r="BJ9" i="2"/>
  <c r="C73" i="4" s="1"/>
  <c r="BB9" i="2"/>
  <c r="C61" i="4" s="1"/>
  <c r="AT9" i="2"/>
  <c r="C49" i="4" s="1"/>
  <c r="AL9" i="2"/>
  <c r="C37" i="4" s="1"/>
  <c r="AD9" i="2"/>
  <c r="C25" i="4" s="1"/>
  <c r="V9" i="2"/>
  <c r="C13" i="4" s="1"/>
  <c r="M9" i="2"/>
  <c r="C32" i="3" s="1"/>
  <c r="E9" i="2"/>
  <c r="C13" i="3" s="1"/>
  <c r="BJ6" i="2"/>
  <c r="C70" i="4" s="1"/>
  <c r="BB6" i="2"/>
  <c r="C58" i="4" s="1"/>
  <c r="AT6" i="2"/>
  <c r="C46" i="4" s="1"/>
  <c r="AL6" i="2"/>
  <c r="C34" i="4" s="1"/>
  <c r="AD6" i="2"/>
  <c r="C22" i="4" s="1"/>
  <c r="V6" i="2"/>
  <c r="C10" i="4" s="1"/>
  <c r="M6" i="2"/>
  <c r="C29" i="3" s="1"/>
  <c r="E6" i="2"/>
  <c r="C10" i="3" s="1"/>
  <c r="BJ5" i="2"/>
  <c r="C69" i="4" s="1"/>
  <c r="BB5" i="2"/>
  <c r="C57" i="4" s="1"/>
  <c r="AT5" i="2"/>
  <c r="C45" i="4" s="1"/>
  <c r="AL5" i="2"/>
  <c r="C33" i="4" s="1"/>
  <c r="AD5" i="2"/>
  <c r="C21" i="4" s="1"/>
  <c r="V5" i="2"/>
  <c r="C9" i="4" s="1"/>
  <c r="M5" i="2"/>
  <c r="C28" i="3" s="1"/>
  <c r="E5" i="2"/>
  <c r="C9" i="3" s="1"/>
  <c r="BJ4" i="2"/>
  <c r="C68" i="4" s="1"/>
  <c r="BB4" i="2"/>
  <c r="C56" i="4" s="1"/>
  <c r="AT4" i="2"/>
  <c r="C44" i="4" s="1"/>
  <c r="AL4" i="2"/>
  <c r="C32" i="4" s="1"/>
  <c r="AD4" i="2"/>
  <c r="C20" i="4" s="1"/>
  <c r="V4" i="2"/>
  <c r="C8" i="4" s="1"/>
  <c r="M4" i="2"/>
  <c r="C27" i="3" s="1"/>
  <c r="E4" i="2"/>
  <c r="BJ3" i="2"/>
  <c r="C67" i="4" s="1"/>
  <c r="BB3" i="2"/>
  <c r="C55" i="4" s="1"/>
  <c r="AT3" i="2"/>
  <c r="C43" i="4" s="1"/>
  <c r="AL3" i="2"/>
  <c r="C31" i="4" s="1"/>
  <c r="AD3" i="2"/>
  <c r="C19" i="4" s="1"/>
  <c r="V3" i="2"/>
  <c r="C7" i="4" s="1"/>
  <c r="M3" i="2"/>
  <c r="C26" i="3" s="1"/>
  <c r="E3" i="2"/>
  <c r="BJ2" i="2"/>
  <c r="C66" i="4" s="1"/>
  <c r="BB2" i="2"/>
  <c r="C54" i="4" s="1"/>
  <c r="AT2" i="2"/>
  <c r="C42" i="4" s="1"/>
  <c r="AL2" i="2"/>
  <c r="C30" i="4" s="1"/>
  <c r="AD2" i="2"/>
  <c r="C18" i="4" s="1"/>
  <c r="V2" i="2"/>
  <c r="C6" i="4" s="1"/>
  <c r="M2" i="2"/>
  <c r="C25" i="3" s="1"/>
  <c r="E2" i="2"/>
  <c r="E27" i="1"/>
  <c r="D27" i="1"/>
  <c r="V31" i="5" l="1"/>
  <c r="Q71" i="4"/>
  <c r="D29" i="5"/>
  <c r="W71" i="4"/>
  <c r="T71" i="4"/>
  <c r="Y83" i="4"/>
  <c r="V29" i="5" s="1"/>
  <c r="AB12" i="8" s="1"/>
  <c r="J83" i="4"/>
  <c r="P83" i="4"/>
  <c r="X83" i="4"/>
  <c r="U83" i="4"/>
  <c r="L83" i="4"/>
  <c r="M83" i="4"/>
  <c r="I83" i="4"/>
  <c r="O83" i="4"/>
  <c r="S83" i="4"/>
  <c r="V83" i="4"/>
  <c r="R83" i="4"/>
  <c r="K71" i="4"/>
  <c r="F83" i="4"/>
  <c r="H83" i="4" s="1"/>
  <c r="Z11" i="4"/>
  <c r="Z71" i="4"/>
  <c r="N71" i="4"/>
  <c r="D71" i="4"/>
  <c r="W59" i="4"/>
  <c r="Q59" i="4"/>
  <c r="Z59" i="4"/>
  <c r="T47" i="4"/>
  <c r="Z47" i="4"/>
  <c r="K59" i="4"/>
  <c r="D59" i="4"/>
  <c r="N59" i="4"/>
  <c r="W47" i="4"/>
  <c r="N47" i="4"/>
  <c r="D47" i="4"/>
  <c r="Q47" i="4"/>
  <c r="K47" i="4"/>
  <c r="N35" i="4"/>
  <c r="D35" i="4"/>
  <c r="Z35" i="4"/>
  <c r="T35" i="4"/>
  <c r="Q35" i="4"/>
  <c r="Z23" i="4"/>
  <c r="N23" i="4"/>
  <c r="Q23" i="4"/>
  <c r="W23" i="4"/>
  <c r="T23" i="4"/>
  <c r="W11" i="4"/>
  <c r="D23" i="4"/>
  <c r="N11" i="4"/>
  <c r="K23" i="4"/>
  <c r="T11" i="4"/>
  <c r="Q11" i="4"/>
  <c r="D11" i="4"/>
  <c r="K11" i="4"/>
  <c r="T30" i="3"/>
  <c r="S49" i="3"/>
  <c r="Z30" i="3"/>
  <c r="U49" i="3"/>
  <c r="P49" i="3"/>
  <c r="Q30" i="3"/>
  <c r="R49" i="3"/>
  <c r="V49" i="3"/>
  <c r="M49" i="3"/>
  <c r="J29" i="5" s="1"/>
  <c r="P12" i="8" s="1"/>
  <c r="N30" i="3"/>
  <c r="D30" i="3"/>
  <c r="O49" i="3"/>
  <c r="Z49" i="3"/>
  <c r="L49" i="3"/>
  <c r="K30" i="3"/>
  <c r="J49" i="3"/>
  <c r="I49" i="3"/>
  <c r="F49" i="3"/>
  <c r="H49" i="3" s="1"/>
  <c r="D24" i="5"/>
  <c r="E24" i="5" s="1"/>
  <c r="D11" i="3"/>
  <c r="W11" i="3"/>
  <c r="T11" i="3"/>
  <c r="Q11" i="3"/>
  <c r="N11" i="3"/>
  <c r="K11" i="3"/>
  <c r="W6" i="8"/>
  <c r="I26" i="2"/>
  <c r="R29" i="5" s="1"/>
  <c r="X12" i="8" s="1"/>
  <c r="H26" i="2"/>
  <c r="O29" i="5" s="1"/>
  <c r="U12" i="8" s="1"/>
  <c r="G26" i="2"/>
  <c r="L29" i="5" s="1"/>
  <c r="R12" i="8" s="1"/>
  <c r="F26" i="2"/>
  <c r="I29" i="5" s="1"/>
  <c r="O12" i="8" s="1"/>
  <c r="E26" i="2"/>
  <c r="F29" i="5" s="1"/>
  <c r="L12" i="8" s="1"/>
  <c r="D26" i="2"/>
  <c r="C29" i="5" s="1"/>
  <c r="J26" i="2"/>
  <c r="U29" i="5" s="1"/>
  <c r="AA12" i="8" s="1"/>
  <c r="BJ7" i="2"/>
  <c r="C71" i="4" s="1"/>
  <c r="BB7" i="2"/>
  <c r="C59" i="4" s="1"/>
  <c r="AT7" i="2"/>
  <c r="C47" i="4" s="1"/>
  <c r="E47" i="4" s="1"/>
  <c r="AL7" i="2"/>
  <c r="C35" i="4" s="1"/>
  <c r="AD7" i="2"/>
  <c r="C23" i="4" s="1"/>
  <c r="J31" i="5"/>
  <c r="P9" i="8" s="1"/>
  <c r="V7" i="2"/>
  <c r="C11" i="4" s="1"/>
  <c r="M7" i="2"/>
  <c r="C30" i="3" s="1"/>
  <c r="E7" i="2"/>
  <c r="C11" i="3" s="1"/>
  <c r="AC10" i="8"/>
  <c r="Z10" i="8"/>
  <c r="M27" i="5"/>
  <c r="S10" i="8" s="1"/>
  <c r="T10" i="8" s="1"/>
  <c r="W10" i="8"/>
  <c r="Q10" i="8"/>
  <c r="N10" i="8"/>
  <c r="AE10" i="8"/>
  <c r="AA9" i="8"/>
  <c r="AB9" i="8"/>
  <c r="V30" i="5"/>
  <c r="Y9" i="8"/>
  <c r="X9" i="8"/>
  <c r="U9" i="8"/>
  <c r="N6" i="8"/>
  <c r="R9" i="8"/>
  <c r="O9" i="8"/>
  <c r="L9" i="8"/>
  <c r="Z6" i="8"/>
  <c r="AC6" i="8"/>
  <c r="T6" i="8"/>
  <c r="Q6" i="8"/>
  <c r="AE6" i="8"/>
  <c r="Q5" i="8"/>
  <c r="W5" i="8"/>
  <c r="AE5" i="8"/>
  <c r="T5" i="8"/>
  <c r="G31" i="5"/>
  <c r="H31" i="5" s="1"/>
  <c r="AC5" i="8"/>
  <c r="Z5" i="8"/>
  <c r="N5" i="8"/>
  <c r="AE3" i="8"/>
  <c r="AC3" i="8"/>
  <c r="N3" i="8"/>
  <c r="Z3" i="8"/>
  <c r="W3" i="8"/>
  <c r="Q3" i="8"/>
  <c r="T3" i="8"/>
  <c r="P31" i="5"/>
  <c r="V9" i="8" s="1"/>
  <c r="M31" i="5"/>
  <c r="S9" i="8" s="1"/>
  <c r="H36" i="5"/>
  <c r="H32" i="5"/>
  <c r="H37" i="5"/>
  <c r="H33" i="5"/>
  <c r="H34" i="5"/>
  <c r="H35" i="5"/>
  <c r="N33" i="5"/>
  <c r="H26" i="5"/>
  <c r="H28" i="5"/>
  <c r="E36" i="5"/>
  <c r="H25" i="5"/>
  <c r="E35" i="5"/>
  <c r="H27" i="5"/>
  <c r="H30" i="5"/>
  <c r="H24" i="5"/>
  <c r="E25" i="5"/>
  <c r="E28" i="5"/>
  <c r="E31" i="5"/>
  <c r="E33" i="5"/>
  <c r="E37" i="5"/>
  <c r="E27" i="5"/>
  <c r="E26" i="5"/>
  <c r="E30" i="5"/>
  <c r="E34" i="5"/>
  <c r="E32" i="5"/>
  <c r="F35" i="2"/>
  <c r="I38" i="5" s="1"/>
  <c r="H35" i="2"/>
  <c r="O38" i="5" s="1"/>
  <c r="G35" i="2"/>
  <c r="L38" i="5" s="1"/>
  <c r="E35" i="2"/>
  <c r="F38" i="5" s="1"/>
  <c r="H38" i="5" s="1"/>
  <c r="J35" i="2"/>
  <c r="U38" i="5" s="1"/>
  <c r="I35" i="2"/>
  <c r="R38" i="5" s="1"/>
  <c r="D35" i="2"/>
  <c r="C38" i="5" s="1"/>
  <c r="R50" i="3"/>
  <c r="T50" i="3" s="1"/>
  <c r="R53" i="3"/>
  <c r="T53" i="3" s="1"/>
  <c r="X44" i="3"/>
  <c r="Z44" i="3" s="1"/>
  <c r="X45" i="3"/>
  <c r="Z45" i="3" s="1"/>
  <c r="X48" i="3"/>
  <c r="Z48" i="3" s="1"/>
  <c r="F57" i="3"/>
  <c r="H57" i="3" s="1"/>
  <c r="L44" i="3"/>
  <c r="N44" i="3" s="1"/>
  <c r="I56" i="3"/>
  <c r="K56" i="3" s="1"/>
  <c r="E36" i="4"/>
  <c r="L50" i="3"/>
  <c r="N50" i="3" s="1"/>
  <c r="L51" i="3"/>
  <c r="N51" i="3" s="1"/>
  <c r="L55" i="3"/>
  <c r="N55" i="3" s="1"/>
  <c r="E66" i="4"/>
  <c r="E69" i="4"/>
  <c r="E70" i="4"/>
  <c r="E73" i="4"/>
  <c r="E36" i="3"/>
  <c r="O55" i="3"/>
  <c r="Q55" i="3" s="1"/>
  <c r="E46" i="4"/>
  <c r="E49" i="4"/>
  <c r="E55" i="4"/>
  <c r="E57" i="4"/>
  <c r="R48" i="3"/>
  <c r="T48" i="3" s="1"/>
  <c r="O50" i="3"/>
  <c r="Q50" i="3" s="1"/>
  <c r="O51" i="3"/>
  <c r="Q51" i="3" s="1"/>
  <c r="I84" i="4"/>
  <c r="K84" i="4" s="1"/>
  <c r="D4" i="2"/>
  <c r="O57" i="3"/>
  <c r="Q57" i="3" s="1"/>
  <c r="O82" i="4"/>
  <c r="Q82" i="4" s="1"/>
  <c r="R56" i="3"/>
  <c r="T56" i="3" s="1"/>
  <c r="D11" i="2"/>
  <c r="D44" i="3"/>
  <c r="D4" i="5" s="1"/>
  <c r="D47" i="3"/>
  <c r="D7" i="5" s="1"/>
  <c r="D48" i="3"/>
  <c r="D8" i="5" s="1"/>
  <c r="U57" i="3"/>
  <c r="W57" i="3" s="1"/>
  <c r="F44" i="3"/>
  <c r="H44" i="3" s="1"/>
  <c r="F47" i="3"/>
  <c r="H47" i="3" s="1"/>
  <c r="X51" i="3"/>
  <c r="Z51" i="3" s="1"/>
  <c r="X55" i="3"/>
  <c r="Z55" i="3" s="1"/>
  <c r="E25" i="3"/>
  <c r="E18" i="4"/>
  <c r="I44" i="3"/>
  <c r="K44" i="3" s="1"/>
  <c r="I45" i="3"/>
  <c r="K45" i="3" s="1"/>
  <c r="D53" i="3"/>
  <c r="D13" i="5" s="1"/>
  <c r="D55" i="3"/>
  <c r="D15" i="5" s="1"/>
  <c r="D58" i="3"/>
  <c r="D18" i="5" s="1"/>
  <c r="O47" i="3"/>
  <c r="Q47" i="3" s="1"/>
  <c r="D52" i="3"/>
  <c r="D12" i="5" s="1"/>
  <c r="U54" i="3"/>
  <c r="W54" i="3" s="1"/>
  <c r="R55" i="3"/>
  <c r="T55" i="3" s="1"/>
  <c r="R44" i="3"/>
  <c r="T44" i="3" s="1"/>
  <c r="Q9" i="3"/>
  <c r="I51" i="3"/>
  <c r="K51" i="3" s="1"/>
  <c r="X54" i="3"/>
  <c r="Z54" i="3" s="1"/>
  <c r="U55" i="3"/>
  <c r="W55" i="3" s="1"/>
  <c r="U79" i="4"/>
  <c r="W79" i="4" s="1"/>
  <c r="E34" i="3"/>
  <c r="O53" i="3"/>
  <c r="Q53" i="3" s="1"/>
  <c r="O54" i="3"/>
  <c r="Q54" i="3" s="1"/>
  <c r="R84" i="4"/>
  <c r="T84" i="4" s="1"/>
  <c r="C54" i="3"/>
  <c r="C14" i="5" s="1"/>
  <c r="I14" i="5" s="1"/>
  <c r="I78" i="4"/>
  <c r="K78" i="4" s="1"/>
  <c r="L45" i="3"/>
  <c r="N45" i="3" s="1"/>
  <c r="X52" i="3"/>
  <c r="Z52" i="3" s="1"/>
  <c r="O56" i="3"/>
  <c r="Q56" i="3" s="1"/>
  <c r="D45" i="3"/>
  <c r="D5" i="5" s="1"/>
  <c r="E31" i="3"/>
  <c r="I79" i="4"/>
  <c r="K79" i="4" s="1"/>
  <c r="E68" i="4"/>
  <c r="Q13" i="3"/>
  <c r="E16" i="2"/>
  <c r="C20" i="3" s="1"/>
  <c r="E20" i="3" s="1"/>
  <c r="D5" i="2"/>
  <c r="U56" i="3"/>
  <c r="W56" i="3" s="1"/>
  <c r="U81" i="4"/>
  <c r="W81" i="4" s="1"/>
  <c r="E48" i="4"/>
  <c r="U3" i="2"/>
  <c r="C48" i="3"/>
  <c r="C8" i="5" s="1"/>
  <c r="D9" i="2"/>
  <c r="L46" i="3"/>
  <c r="N46" i="3" s="1"/>
  <c r="I47" i="3"/>
  <c r="K47" i="3" s="1"/>
  <c r="F48" i="3"/>
  <c r="H48" i="3" s="1"/>
  <c r="C50" i="3"/>
  <c r="C10" i="5" s="1"/>
  <c r="W18" i="3"/>
  <c r="I80" i="4"/>
  <c r="K80" i="4" s="1"/>
  <c r="O46" i="3"/>
  <c r="Q46" i="3" s="1"/>
  <c r="L47" i="3"/>
  <c r="N47" i="3" s="1"/>
  <c r="I48" i="3"/>
  <c r="K48" i="3" s="1"/>
  <c r="R52" i="3"/>
  <c r="T52" i="3" s="1"/>
  <c r="I54" i="3"/>
  <c r="K54" i="3" s="1"/>
  <c r="F55" i="3"/>
  <c r="H55" i="3" s="1"/>
  <c r="D56" i="3"/>
  <c r="D16" i="5" s="1"/>
  <c r="I81" i="4"/>
  <c r="K81" i="4" s="1"/>
  <c r="E20" i="4"/>
  <c r="U44" i="3"/>
  <c r="W44" i="3" s="1"/>
  <c r="R46" i="3"/>
  <c r="T46" i="3" s="1"/>
  <c r="I55" i="3"/>
  <c r="K55" i="3" s="1"/>
  <c r="D57" i="3"/>
  <c r="F79" i="4"/>
  <c r="H79" i="4" s="1"/>
  <c r="O80" i="4"/>
  <c r="Q80" i="4" s="1"/>
  <c r="M16" i="2"/>
  <c r="C39" i="3" s="1"/>
  <c r="E39" i="3" s="1"/>
  <c r="T10" i="3"/>
  <c r="K13" i="3"/>
  <c r="Q15" i="3"/>
  <c r="K9" i="4"/>
  <c r="K12" i="4"/>
  <c r="U5" i="2"/>
  <c r="H6" i="3"/>
  <c r="U85" i="4"/>
  <c r="W85" i="4" s="1"/>
  <c r="E24" i="4"/>
  <c r="E42" i="4"/>
  <c r="E31" i="4"/>
  <c r="Z6" i="3"/>
  <c r="Z10" i="3"/>
  <c r="F53" i="3"/>
  <c r="H53" i="3" s="1"/>
  <c r="T15" i="3"/>
  <c r="W17" i="3"/>
  <c r="L79" i="4"/>
  <c r="N79" i="4" s="1"/>
  <c r="X79" i="4"/>
  <c r="Z79" i="4" s="1"/>
  <c r="X82" i="4"/>
  <c r="Z82" i="4" s="1"/>
  <c r="X85" i="4"/>
  <c r="Z85" i="4" s="1"/>
  <c r="E60" i="4"/>
  <c r="T6" i="3"/>
  <c r="Q17" i="3"/>
  <c r="Q8" i="3"/>
  <c r="K7" i="4"/>
  <c r="L81" i="4"/>
  <c r="N81" i="4" s="1"/>
  <c r="L84" i="4"/>
  <c r="N84" i="4" s="1"/>
  <c r="E72" i="4"/>
  <c r="E44" i="4"/>
  <c r="E22" i="4"/>
  <c r="D46" i="3"/>
  <c r="D6" i="5" s="1"/>
  <c r="U46" i="3"/>
  <c r="W46" i="3" s="1"/>
  <c r="L48" i="3"/>
  <c r="N48" i="3" s="1"/>
  <c r="L52" i="3"/>
  <c r="N52" i="3" s="1"/>
  <c r="U53" i="3"/>
  <c r="W53" i="3" s="1"/>
  <c r="Q16" i="3"/>
  <c r="O81" i="4"/>
  <c r="Q81" i="4" s="1"/>
  <c r="E12" i="4"/>
  <c r="O84" i="4"/>
  <c r="Q84" i="4" s="1"/>
  <c r="W16" i="3"/>
  <c r="R82" i="4"/>
  <c r="T82" i="4" s="1"/>
  <c r="H10" i="3"/>
  <c r="Q12" i="3"/>
  <c r="I57" i="3"/>
  <c r="K57" i="3" s="1"/>
  <c r="W7" i="4"/>
  <c r="X81" i="4"/>
  <c r="Z81" i="4" s="1"/>
  <c r="X84" i="4"/>
  <c r="Z84" i="4" s="1"/>
  <c r="E33" i="4"/>
  <c r="E25" i="4"/>
  <c r="D15" i="2"/>
  <c r="N6" i="3"/>
  <c r="F46" i="3"/>
  <c r="H46" i="3" s="1"/>
  <c r="R47" i="3"/>
  <c r="T47" i="3" s="1"/>
  <c r="D50" i="3"/>
  <c r="D10" i="5" s="1"/>
  <c r="R51" i="3"/>
  <c r="T51" i="3" s="1"/>
  <c r="O52" i="3"/>
  <c r="Q52" i="3" s="1"/>
  <c r="I53" i="3"/>
  <c r="K53" i="3" s="1"/>
  <c r="X53" i="3"/>
  <c r="Z53" i="3" s="1"/>
  <c r="R54" i="3"/>
  <c r="T54" i="3" s="1"/>
  <c r="R57" i="3"/>
  <c r="T57" i="3" s="1"/>
  <c r="O79" i="4"/>
  <c r="Q79" i="4" s="1"/>
  <c r="D81" i="4"/>
  <c r="G7" i="5" s="1"/>
  <c r="D84" i="4"/>
  <c r="G10" i="5" s="1"/>
  <c r="H19" i="3"/>
  <c r="W9" i="4"/>
  <c r="Q18" i="3"/>
  <c r="D2" i="2"/>
  <c r="D3" i="2"/>
  <c r="D12" i="2"/>
  <c r="C57" i="3"/>
  <c r="C17" i="5" s="1"/>
  <c r="I17" i="5" s="1"/>
  <c r="I46" i="3"/>
  <c r="K46" i="3" s="1"/>
  <c r="O48" i="3"/>
  <c r="Q48" i="3" s="1"/>
  <c r="D51" i="3"/>
  <c r="D11" i="5" s="1"/>
  <c r="U51" i="3"/>
  <c r="W51" i="3" s="1"/>
  <c r="L53" i="3"/>
  <c r="N53" i="3" s="1"/>
  <c r="D79" i="4"/>
  <c r="F81" i="4"/>
  <c r="H81" i="4" s="1"/>
  <c r="F84" i="4"/>
  <c r="H84" i="4" s="1"/>
  <c r="I85" i="4"/>
  <c r="K85" i="4" s="1"/>
  <c r="F78" i="4"/>
  <c r="H78" i="4" s="1"/>
  <c r="U84" i="4"/>
  <c r="W84" i="4" s="1"/>
  <c r="C56" i="3"/>
  <c r="C16" i="5" s="1"/>
  <c r="I16" i="5" s="1"/>
  <c r="N20" i="3"/>
  <c r="L58" i="3"/>
  <c r="N58" i="3" s="1"/>
  <c r="E26" i="3"/>
  <c r="E33" i="3"/>
  <c r="O58" i="3"/>
  <c r="Q58" i="3" s="1"/>
  <c r="Q20" i="3"/>
  <c r="R58" i="3"/>
  <c r="T58" i="3" s="1"/>
  <c r="T20" i="3"/>
  <c r="E37" i="3"/>
  <c r="E27" i="3"/>
  <c r="U58" i="3"/>
  <c r="W58" i="3" s="1"/>
  <c r="W20" i="3"/>
  <c r="X58" i="3"/>
  <c r="Z58" i="3" s="1"/>
  <c r="Z20" i="3"/>
  <c r="E16" i="3"/>
  <c r="E32" i="3"/>
  <c r="E38" i="3"/>
  <c r="C47" i="3"/>
  <c r="C7" i="5" s="1"/>
  <c r="E35" i="3"/>
  <c r="E7" i="4"/>
  <c r="C79" i="4"/>
  <c r="F5" i="5" s="1"/>
  <c r="C55" i="3"/>
  <c r="C15" i="5" s="1"/>
  <c r="I15" i="5" s="1"/>
  <c r="E17" i="3"/>
  <c r="F58" i="3"/>
  <c r="H58" i="3" s="1"/>
  <c r="H20" i="3"/>
  <c r="E28" i="3"/>
  <c r="C51" i="3"/>
  <c r="C11" i="5" s="1"/>
  <c r="E13" i="3"/>
  <c r="C52" i="3"/>
  <c r="C12" i="5" s="1"/>
  <c r="I12" i="5" s="1"/>
  <c r="I58" i="3"/>
  <c r="K58" i="3" s="1"/>
  <c r="K20" i="3"/>
  <c r="E29" i="3"/>
  <c r="D10" i="2"/>
  <c r="K6" i="3"/>
  <c r="W6" i="3"/>
  <c r="H8" i="3"/>
  <c r="T8" i="3"/>
  <c r="E10" i="3"/>
  <c r="Q10" i="3"/>
  <c r="N13" i="3"/>
  <c r="Z13" i="3"/>
  <c r="K15" i="3"/>
  <c r="W15" i="3"/>
  <c r="H17" i="3"/>
  <c r="T17" i="3"/>
  <c r="E19" i="3"/>
  <c r="Q19" i="3"/>
  <c r="U45" i="3"/>
  <c r="W45" i="3" s="1"/>
  <c r="U47" i="3"/>
  <c r="W47" i="3" s="1"/>
  <c r="U48" i="3"/>
  <c r="W48" i="3" s="1"/>
  <c r="U50" i="3"/>
  <c r="W50" i="3" s="1"/>
  <c r="U52" i="3"/>
  <c r="W52" i="3" s="1"/>
  <c r="L54" i="3"/>
  <c r="N54" i="3" s="1"/>
  <c r="F56" i="3"/>
  <c r="H56" i="3" s="1"/>
  <c r="D78" i="4"/>
  <c r="E6" i="4"/>
  <c r="E8" i="4"/>
  <c r="F85" i="4"/>
  <c r="H85" i="4" s="1"/>
  <c r="H13" i="4"/>
  <c r="U9" i="2"/>
  <c r="D13" i="2"/>
  <c r="K7" i="3"/>
  <c r="H9" i="3"/>
  <c r="T9" i="3"/>
  <c r="E12" i="3"/>
  <c r="N14" i="3"/>
  <c r="Z14" i="3"/>
  <c r="K16" i="3"/>
  <c r="T18" i="3"/>
  <c r="F45" i="3"/>
  <c r="H45" i="3" s="1"/>
  <c r="F50" i="3"/>
  <c r="H50" i="3" s="1"/>
  <c r="F51" i="3"/>
  <c r="H51" i="3" s="1"/>
  <c r="F52" i="3"/>
  <c r="H52" i="3" s="1"/>
  <c r="X57" i="3"/>
  <c r="Z57" i="3" s="1"/>
  <c r="I82" i="4"/>
  <c r="K82" i="4" s="1"/>
  <c r="K10" i="4"/>
  <c r="R78" i="4"/>
  <c r="T78" i="4" s="1"/>
  <c r="U4" i="2"/>
  <c r="C85" i="4"/>
  <c r="F11" i="5" s="1"/>
  <c r="C6" i="3"/>
  <c r="C44" i="3" s="1"/>
  <c r="C4" i="5" s="1"/>
  <c r="C15" i="3"/>
  <c r="C53" i="3" s="1"/>
  <c r="C13" i="5" s="1"/>
  <c r="I13" i="5" s="1"/>
  <c r="O44" i="3"/>
  <c r="Q44" i="3" s="1"/>
  <c r="O45" i="3"/>
  <c r="Q45" i="3" s="1"/>
  <c r="L57" i="3"/>
  <c r="N57" i="3" s="1"/>
  <c r="R79" i="4"/>
  <c r="T79" i="4" s="1"/>
  <c r="C80" i="4"/>
  <c r="F6" i="5" s="1"/>
  <c r="D6" i="2"/>
  <c r="D7" i="2" s="1"/>
  <c r="C7" i="3"/>
  <c r="C45" i="3" s="1"/>
  <c r="C5" i="5" s="1"/>
  <c r="N7" i="3"/>
  <c r="Z7" i="3"/>
  <c r="K9" i="3"/>
  <c r="T12" i="3"/>
  <c r="E14" i="3"/>
  <c r="Z16" i="3"/>
  <c r="K18" i="3"/>
  <c r="X46" i="3"/>
  <c r="Z46" i="3" s="1"/>
  <c r="X47" i="3"/>
  <c r="Z47" i="3" s="1"/>
  <c r="X50" i="3"/>
  <c r="Z50" i="3" s="1"/>
  <c r="D54" i="3"/>
  <c r="X56" i="3"/>
  <c r="Z56" i="3" s="1"/>
  <c r="L80" i="4"/>
  <c r="N80" i="4" s="1"/>
  <c r="N8" i="4"/>
  <c r="R80" i="4"/>
  <c r="T80" i="4" s="1"/>
  <c r="C8" i="3"/>
  <c r="N8" i="3"/>
  <c r="K10" i="3"/>
  <c r="T13" i="3"/>
  <c r="N17" i="3"/>
  <c r="Z17" i="3"/>
  <c r="K19" i="3"/>
  <c r="W19" i="3"/>
  <c r="I50" i="3"/>
  <c r="K50" i="3" s="1"/>
  <c r="I52" i="3"/>
  <c r="K52" i="3" s="1"/>
  <c r="F54" i="3"/>
  <c r="H54" i="3" s="1"/>
  <c r="L56" i="3"/>
  <c r="N56" i="3" s="1"/>
  <c r="O78" i="4"/>
  <c r="Q78" i="4" s="1"/>
  <c r="Q6" i="4"/>
  <c r="E67" i="4"/>
  <c r="R81" i="4"/>
  <c r="T81" i="4" s="1"/>
  <c r="E9" i="4"/>
  <c r="C81" i="4"/>
  <c r="F7" i="5" s="1"/>
  <c r="N9" i="3"/>
  <c r="T14" i="3"/>
  <c r="R45" i="3"/>
  <c r="T45" i="3" s="1"/>
  <c r="U82" i="4"/>
  <c r="W82" i="4" s="1"/>
  <c r="W10" i="4"/>
  <c r="E56" i="4"/>
  <c r="E58" i="4"/>
  <c r="E61" i="4"/>
  <c r="U6" i="2"/>
  <c r="U7" i="2" s="1"/>
  <c r="E30" i="4"/>
  <c r="E32" i="4"/>
  <c r="E34" i="4"/>
  <c r="E43" i="4"/>
  <c r="E45" i="4"/>
  <c r="E54" i="4"/>
  <c r="U2" i="2"/>
  <c r="C78" i="4"/>
  <c r="F4" i="5" s="1"/>
  <c r="C82" i="4"/>
  <c r="F8" i="5" s="1"/>
  <c r="E9" i="3"/>
  <c r="N12" i="3"/>
  <c r="E18" i="3"/>
  <c r="X80" i="4"/>
  <c r="Z80" i="4" s="1"/>
  <c r="Z8" i="4"/>
  <c r="E10" i="4"/>
  <c r="E13" i="4"/>
  <c r="E19" i="4"/>
  <c r="E21" i="4"/>
  <c r="E37" i="4"/>
  <c r="R85" i="4"/>
  <c r="T85" i="4" s="1"/>
  <c r="C84" i="4"/>
  <c r="F10" i="5" s="1"/>
  <c r="L78" i="4"/>
  <c r="N78" i="4" s="1"/>
  <c r="D80" i="4"/>
  <c r="D82" i="4"/>
  <c r="L82" i="4"/>
  <c r="N82" i="4" s="1"/>
  <c r="D85" i="4"/>
  <c r="L85" i="4"/>
  <c r="N85" i="4" s="1"/>
  <c r="H6" i="4"/>
  <c r="Q8" i="4"/>
  <c r="Z10" i="4"/>
  <c r="K13" i="4"/>
  <c r="W13" i="4"/>
  <c r="U78" i="4"/>
  <c r="W78" i="4" s="1"/>
  <c r="U80" i="4"/>
  <c r="W80" i="4" s="1"/>
  <c r="F80" i="4"/>
  <c r="H80" i="4" s="1"/>
  <c r="F82" i="4"/>
  <c r="H82" i="4" s="1"/>
  <c r="K6" i="4"/>
  <c r="Q10" i="4"/>
  <c r="Z13" i="4"/>
  <c r="O85" i="4"/>
  <c r="Q85" i="4" s="1"/>
  <c r="X78" i="4"/>
  <c r="Z78" i="4" s="1"/>
  <c r="K8" i="4"/>
  <c r="AC12" i="8" l="1"/>
  <c r="Q12" i="8"/>
  <c r="AE12" i="8"/>
  <c r="P29" i="5"/>
  <c r="G29" i="5"/>
  <c r="H29" i="5" s="1"/>
  <c r="S29" i="5"/>
  <c r="M29" i="5"/>
  <c r="E29" i="5"/>
  <c r="Q83" i="4"/>
  <c r="W29" i="5"/>
  <c r="K29" i="5"/>
  <c r="N83" i="4"/>
  <c r="Z83" i="4"/>
  <c r="K83" i="4"/>
  <c r="W83" i="4"/>
  <c r="T83" i="4"/>
  <c r="E71" i="4"/>
  <c r="C83" i="4"/>
  <c r="F9" i="5" s="1"/>
  <c r="D83" i="4"/>
  <c r="G9" i="5" s="1"/>
  <c r="E59" i="4"/>
  <c r="E35" i="4"/>
  <c r="E23" i="4"/>
  <c r="E11" i="4"/>
  <c r="W49" i="3"/>
  <c r="T49" i="3"/>
  <c r="Q49" i="3"/>
  <c r="N49" i="3"/>
  <c r="K49" i="3"/>
  <c r="D49" i="3"/>
  <c r="D9" i="5" s="1"/>
  <c r="E30" i="3"/>
  <c r="E11" i="3"/>
  <c r="C49" i="3"/>
  <c r="C9" i="5" s="1"/>
  <c r="AC9" i="8"/>
  <c r="Z9" i="8"/>
  <c r="T9" i="8"/>
  <c r="W9" i="8"/>
  <c r="AE9" i="8"/>
  <c r="Q9" i="8"/>
  <c r="M9" i="8"/>
  <c r="N9" i="8" s="1"/>
  <c r="N32" i="5"/>
  <c r="K32" i="5"/>
  <c r="K33" i="5"/>
  <c r="K38" i="5"/>
  <c r="E38" i="5"/>
  <c r="Q32" i="5"/>
  <c r="K25" i="5"/>
  <c r="K36" i="5"/>
  <c r="K37" i="5"/>
  <c r="N31" i="5"/>
  <c r="K35" i="5"/>
  <c r="K34" i="5"/>
  <c r="K26" i="5"/>
  <c r="K30" i="5"/>
  <c r="K24" i="5"/>
  <c r="K31" i="5"/>
  <c r="K27" i="5"/>
  <c r="K28" i="5"/>
  <c r="E48" i="3"/>
  <c r="I8" i="5"/>
  <c r="F12" i="8" s="1"/>
  <c r="C9" i="2"/>
  <c r="C28" i="2" s="1"/>
  <c r="E56" i="3"/>
  <c r="E57" i="3"/>
  <c r="I5" i="5"/>
  <c r="I10" i="5"/>
  <c r="E50" i="3"/>
  <c r="E79" i="4"/>
  <c r="D17" i="5"/>
  <c r="E17" i="5" s="1"/>
  <c r="E6" i="3"/>
  <c r="C58" i="3"/>
  <c r="G5" i="5"/>
  <c r="H5" i="5" s="1"/>
  <c r="D16" i="2"/>
  <c r="H7" i="5"/>
  <c r="H10" i="5"/>
  <c r="G11" i="5"/>
  <c r="H11" i="5" s="1"/>
  <c r="E85" i="4"/>
  <c r="G4" i="5"/>
  <c r="H4" i="5" s="1"/>
  <c r="E78" i="4"/>
  <c r="E53" i="3"/>
  <c r="J12" i="5"/>
  <c r="K12" i="5" s="1"/>
  <c r="E12" i="5"/>
  <c r="E4" i="5"/>
  <c r="J13" i="5"/>
  <c r="K13" i="5" s="1"/>
  <c r="E13" i="5"/>
  <c r="I7" i="5"/>
  <c r="C46" i="3"/>
  <c r="E8" i="3"/>
  <c r="E7" i="3"/>
  <c r="E45" i="3"/>
  <c r="E51" i="3"/>
  <c r="E16" i="5"/>
  <c r="J16" i="5"/>
  <c r="K16" i="5" s="1"/>
  <c r="E5" i="5"/>
  <c r="E11" i="5"/>
  <c r="E84" i="4"/>
  <c r="E82" i="4"/>
  <c r="G8" i="5"/>
  <c r="H8" i="5" s="1"/>
  <c r="E15" i="3"/>
  <c r="I4" i="5"/>
  <c r="E81" i="4"/>
  <c r="E47" i="3"/>
  <c r="J10" i="5"/>
  <c r="E10" i="5"/>
  <c r="D14" i="5"/>
  <c r="E54" i="3"/>
  <c r="E55" i="3"/>
  <c r="I11" i="5"/>
  <c r="J18" i="5"/>
  <c r="E8" i="5"/>
  <c r="E7" i="5"/>
  <c r="J7" i="5"/>
  <c r="G6" i="5"/>
  <c r="H6" i="5" s="1"/>
  <c r="E80" i="4"/>
  <c r="E15" i="5"/>
  <c r="J15" i="5"/>
  <c r="K15" i="5" s="1"/>
  <c r="E52" i="3"/>
  <c r="E44" i="3"/>
  <c r="T29" i="5" l="1"/>
  <c r="Y12" i="8"/>
  <c r="Z12" i="8" s="1"/>
  <c r="Q29" i="5"/>
  <c r="V12" i="8"/>
  <c r="W12" i="8" s="1"/>
  <c r="N29" i="5"/>
  <c r="S12" i="8"/>
  <c r="T12" i="8" s="1"/>
  <c r="M12" i="8"/>
  <c r="N12" i="8" s="1"/>
  <c r="I9" i="5"/>
  <c r="E12" i="8" s="1"/>
  <c r="H9" i="5"/>
  <c r="E9" i="5"/>
  <c r="J9" i="5"/>
  <c r="E83" i="4"/>
  <c r="E49" i="3"/>
  <c r="T33" i="5"/>
  <c r="T32" i="5"/>
  <c r="Q33" i="5"/>
  <c r="N38" i="5"/>
  <c r="Q38" i="5"/>
  <c r="W32" i="5"/>
  <c r="W33" i="5"/>
  <c r="T31" i="5"/>
  <c r="N27" i="5"/>
  <c r="Q24" i="5"/>
  <c r="N34" i="5"/>
  <c r="N36" i="5"/>
  <c r="Q25" i="5"/>
  <c r="T30" i="5"/>
  <c r="N35" i="5"/>
  <c r="T34" i="5"/>
  <c r="N24" i="5"/>
  <c r="N30" i="5"/>
  <c r="N37" i="5"/>
  <c r="N26" i="5"/>
  <c r="N25" i="5"/>
  <c r="Q31" i="5"/>
  <c r="N28" i="5"/>
  <c r="K10" i="5"/>
  <c r="J5" i="5"/>
  <c r="K5" i="5" s="1"/>
  <c r="J17" i="5"/>
  <c r="K17" i="5" s="1"/>
  <c r="K7" i="5"/>
  <c r="C18" i="5"/>
  <c r="E58" i="3"/>
  <c r="J11" i="5"/>
  <c r="K11" i="5" s="1"/>
  <c r="J14" i="5"/>
  <c r="K14" i="5" s="1"/>
  <c r="E14" i="5"/>
  <c r="C6" i="5"/>
  <c r="E46" i="3"/>
  <c r="J8" i="5"/>
  <c r="K8" i="5" s="1"/>
  <c r="J6" i="5"/>
  <c r="J4" i="5"/>
  <c r="K4" i="5" s="1"/>
  <c r="K9" i="5" l="1"/>
  <c r="T38" i="5"/>
  <c r="W38" i="5"/>
  <c r="W31" i="5"/>
  <c r="T25" i="5"/>
  <c r="W24" i="5"/>
  <c r="Q35" i="5"/>
  <c r="Q30" i="5"/>
  <c r="W30" i="5"/>
  <c r="T24" i="5"/>
  <c r="Q36" i="5"/>
  <c r="Q37" i="5"/>
  <c r="Q28" i="5"/>
  <c r="Q34" i="5"/>
  <c r="W34" i="5"/>
  <c r="W26" i="5"/>
  <c r="W25" i="5"/>
  <c r="T28" i="5"/>
  <c r="Q26" i="5"/>
  <c r="T36" i="5"/>
  <c r="T37" i="5"/>
  <c r="T27" i="5"/>
  <c r="T35" i="5"/>
  <c r="Q27" i="5"/>
  <c r="I18" i="5"/>
  <c r="K18" i="5" s="1"/>
  <c r="E18" i="5"/>
  <c r="I6" i="5"/>
  <c r="E6" i="5"/>
  <c r="K6" i="5" l="1"/>
  <c r="E9" i="8"/>
  <c r="W27" i="5"/>
  <c r="W28" i="5"/>
  <c r="T26" i="5"/>
  <c r="W37" i="5"/>
  <c r="W36" i="5"/>
  <c r="W35" i="5"/>
</calcChain>
</file>

<file path=xl/sharedStrings.xml><?xml version="1.0" encoding="utf-8"?>
<sst xmlns="http://schemas.openxmlformats.org/spreadsheetml/2006/main" count="965" uniqueCount="211">
  <si>
    <t>Marco Lógico</t>
  </si>
  <si>
    <t>Nombre del proyecto</t>
  </si>
  <si>
    <t>ConEsperanza</t>
  </si>
  <si>
    <t>Fecha inicio</t>
  </si>
  <si>
    <t>Fecha fin</t>
  </si>
  <si>
    <t>Responsable</t>
  </si>
  <si>
    <t>CARE</t>
  </si>
  <si>
    <t>Socio</t>
  </si>
  <si>
    <t>NA</t>
  </si>
  <si>
    <t>Total participantes directos</t>
  </si>
  <si>
    <t>28632 (23.251 ÚNICOS)</t>
  </si>
  <si>
    <t>Territorios</t>
  </si>
  <si>
    <t>Cauca (Buenos Aires y Morales) , Norte de Santander (Ocaña, Abrego, Harací, Teorama, La Playa de Belén, Convención)</t>
  </si>
  <si>
    <t>Presupuesto</t>
  </si>
  <si>
    <t>2261471 USD</t>
  </si>
  <si>
    <t>Objetivo General</t>
  </si>
  <si>
    <t>Indicadores</t>
  </si>
  <si>
    <t>Metas</t>
  </si>
  <si>
    <t>Notas</t>
  </si>
  <si>
    <t>Medios de verificación</t>
  </si>
  <si>
    <t xml:space="preserve">Respuesta de emergencia para salvar vidas dirigida a comunidades que se enfrentan graves necesidades humanitarias en municipios prioritarios de  Colombia. </t>
  </si>
  <si>
    <t>% de participantes que afirman que la ayuda humanitaria se presta de manera segura, accesible, responsable y participativa</t>
  </si>
  <si>
    <t>Encuestas de Satisfacción y PDM</t>
  </si>
  <si>
    <t>Actividades /productos</t>
  </si>
  <si>
    <t>Metas doble conteo</t>
  </si>
  <si>
    <t>Metas únicos</t>
  </si>
  <si>
    <t>1. Protección</t>
  </si>
  <si>
    <r>
      <t xml:space="preserve"> 1.1 Sensibilización comunitaria, difusión de información y campañas de comunicación sobre los mecanismos de protección disponibles para la población destinataria,  para la prevención de riesgos de protección, la violanción de los derechos y  la prevención de la violencia basada en género.
</t>
    </r>
    <r>
      <rPr>
        <sz val="11"/>
        <color theme="5"/>
        <rFont val="Calibri"/>
        <family val="2"/>
      </rPr>
      <t>Actividad estándar OCHA: C-CA19. ACTIVITY. Establishment of protection and prevention mechanisms by identifying high-risk areas and risk factors driving violence against women and girls in the emergency. Strengthen or set up prevention and mitigation strategies, mechanisms and initiatives in support of national and community-based interventions in line with IASC principles and guidelines. Risk mitigation strategies may include the provision of dignity kits and other means of sharing life-saving protection
 information.</t>
    </r>
  </si>
  <si>
    <t>C-CA19. INDICATOR 74: Number of individuals who received life‑saving protection support through newly established or strengthened violence prevention and risk‑mitigation mechanisms.</t>
  </si>
  <si>
    <t>1. Listados de Asistencia
2. Actas de actividad (espacios masivos)
3. Registro en CommCare 
4. BBDD sistema de monitoreo CARE COL
5. Archivo seguimiento eventos masivos</t>
  </si>
  <si>
    <r>
      <t xml:space="preserve">1.2 Gestión de casos para personas víctimas de conflicto armado, en situación de riesgo o sobrevivientes de violencia de género, incluyendo derivaciones internas y externas
</t>
    </r>
    <r>
      <rPr>
        <sz val="11"/>
        <color theme="5"/>
        <rFont val="Calibri"/>
        <family val="2"/>
      </rPr>
      <t>Actividad estándar OCHA: C-CA11. ACTIVITY: Provision of life-saving support to people with specific needs, survivors of violence against women and girls and/or sexual exploitation and abuse. This includes strengthening psychosocial support (PSS) programming and non- specialized Mental Health and Psychosocial Support Services (MHPSS) to individuals, families, and communities that have been exposed to conflict and displacement, political oppression, torture, and violence against women and girls; and support in promoting community mobilization, activating social networks, and the establishment of community centers and safe spaces.</t>
    </r>
  </si>
  <si>
    <t xml:space="preserve">C-CA11. INDICATOR 65. Number of people receiving violence psycho-social support and/or violence case management </t>
  </si>
  <si>
    <t>1. Registro de todo el ciclo de la Gestión de Caso en el sistema de monitoreo de CARE COL
2. BBDD sistema de monitoreo CARE COL</t>
  </si>
  <si>
    <r>
      <t xml:space="preserve">1.3 Entrega de cash a personas en situación de riesgo o sobrevivientes de violencia de género priorizadas en el proceso de gestión de casos
</t>
    </r>
    <r>
      <rPr>
        <sz val="11"/>
        <color theme="5"/>
        <rFont val="Calibri"/>
        <family val="2"/>
      </rPr>
      <t>Actividad estándar OCHA: C-CA16. ACTIVITY. Provision of financial, cash or voucher / CVA assistance for protection outcomes</t>
    </r>
  </si>
  <si>
    <t>C-CA16. INDICATOR. Number of people affected benefiting from emergency cash assistance or direct service payments</t>
  </si>
  <si>
    <t xml:space="preserve">1. Registro entrega de priorización y entrega de cash en el sistema de monitoreo
2. Tirillas de entrega del cash - proveedor de servicios financieros (ventanilla) /BBDD proveedor
3. BBDD sistema de monitoreo CARE COL
4. BBDD seguimiento coordinación PTM
</t>
  </si>
  <si>
    <r>
      <t xml:space="preserve">1.4 Entrega de kits  - CARE Package-
</t>
    </r>
    <r>
      <rPr>
        <sz val="11"/>
        <color theme="5"/>
        <rFont val="Calibri"/>
        <family val="2"/>
      </rPr>
      <t>Actividad estándar OCHA: C-CA19. ACTIVITY. Establishment of protection and prevention mechanisms by identifying high-risk areas and risk factors driving violence against women and girls in the emergency. Strengthen or set up prevention and mitigation strategies, mechanisms and initiatives in support of national and community-based interventions in line with IASC principles and guidelines. Risk mitigation strategies may include the provision of dignity kits and other means of sharing life-saving protection
 information.</t>
    </r>
  </si>
  <si>
    <t xml:space="preserve">CARE </t>
  </si>
  <si>
    <t>*Son 2400 kits entregados a hogares (x 4 miembros)</t>
  </si>
  <si>
    <t xml:space="preserve">1. Registro entrega de kits en el sistema de monitoreo
2. Listados de distribución de kits
2. BBDD sistema de monitoreo CARE COL
</t>
  </si>
  <si>
    <r>
      <t xml:space="preserve">1.5 Fortalecimiento protección en espacios seguros, gestionados por organizaciones de base, institucionalidad del gobierno  y organismos homólogos.
</t>
    </r>
    <r>
      <rPr>
        <sz val="11"/>
        <color theme="5"/>
        <rFont val="Calibri"/>
        <family val="2"/>
      </rPr>
      <t>Actividad estándar OCHA: C-CA11. ACTIVITY: Provision of life-saving support to people with specific needs, survivors of violence against women and girls and/or sexual exploitation and abuse. This includes strengthening psychosocial support (PSS) programming and non- specialized Mental Health and Psychosocial Support Services (MHPSS) to individuals, families, and communities that have been exposed to conflict and displacement, political oppression, torture, and violence against women and girls; and support in promoting community mobilization, activating social networks, and the establishment of community centers and safe spaces.</t>
    </r>
  </si>
  <si>
    <t>1. Mapeo y diagnóstico
2. Plan de trabajo
3. Acta de entrega (dotación - mejoras)
4. Actas de seguimiento
5. Archivo consolidado de seguimiento</t>
  </si>
  <si>
    <t>2. Salud</t>
  </si>
  <si>
    <r>
      <t xml:space="preserve">2.1 Prestación de servicios de atención primaria de salud 
</t>
    </r>
    <r>
      <rPr>
        <sz val="11"/>
        <color theme="5"/>
        <rFont val="Calibri"/>
        <family val="2"/>
      </rPr>
      <t>Actividad estándar OCHA: C-CA1: ACTIVITY. Ensuring equitable and timely access to emergency primary healthcare, including the link with community health systems and outreach activities.</t>
    </r>
  </si>
  <si>
    <t>C-CA1. INDICATOR 28: Number of primary healthcare consultations provided</t>
  </si>
  <si>
    <t>*2.690 consultas (en promedio dos por persona)</t>
  </si>
  <si>
    <t xml:space="preserve">1. Voucher de salud en el sistema de monitoreo
2. BBDD sistema de monitoreo CARE COL
3. BBDD proveedor de servicios
</t>
  </si>
  <si>
    <r>
      <t xml:space="preserve">2.2 Entre kits postparto
</t>
    </r>
    <r>
      <rPr>
        <sz val="11"/>
        <color theme="5"/>
        <rFont val="Calibri"/>
        <family val="2"/>
      </rPr>
      <t>Actividad estándar OCHA: C-CA1: ACTIVITY. Ensuring equitable and timely access to emergency primary healthcare, including the link with community health systems and outreach activities.</t>
    </r>
  </si>
  <si>
    <r>
      <t xml:space="preserve">2.3 Prestación de servicios de atención medica a las personas sobrevientes de violencia sexual
</t>
    </r>
    <r>
      <rPr>
        <sz val="11"/>
        <color theme="5"/>
        <rFont val="Calibri"/>
        <family val="2"/>
      </rPr>
      <t>Actividad estándar OCHA: C-CA11: ACTIVITY. Medical (including psychological) support to survivors of sexual violence and other forms of violence against women and girls. This can include Mental Health and Psychosocial Support (MHPSS), refresher training for frontline health staff on clinical management of rape and intimate partner violence (IPV), and supply of drugs, material and equipment including through interagency reproductive health kits.</t>
    </r>
  </si>
  <si>
    <t>C-CA11. INDICATOR 43: Number of violence survivors receiving medical assistance, including clinical management of rape</t>
  </si>
  <si>
    <t>1. Voucher de salud en el sistema de monitoreo
2. BBDD sistema de monitoreo CARE COL
3. BBDD proveedor de servicios</t>
  </si>
  <si>
    <t>3.  Cash multipropósito</t>
  </si>
  <si>
    <r>
      <t xml:space="preserve">3.1 Cash Multipropósito
</t>
    </r>
    <r>
      <rPr>
        <sz val="11"/>
        <color theme="5"/>
        <rFont val="Calibri"/>
        <family val="2"/>
      </rPr>
      <t xml:space="preserve">Actividad estándar OCHA: C-CA1. ACTIVITY: Provision of multi purpose cash </t>
    </r>
  </si>
  <si>
    <t>C-CA1. INDICATOR 117: Number of households having received Multi-Purpose Cash (MPC)</t>
  </si>
  <si>
    <t>*576 hogares (x 3.5 miembros)</t>
  </si>
  <si>
    <t>1. Registro en CommCare 
2. BBDD entrega Cash
3. Tirillas entrega del proveedor de serivicio / BBDD proveedor
4. BBDD seguimiento coordinación PTM</t>
  </si>
  <si>
    <t>Sector</t>
  </si>
  <si>
    <t>Actividad</t>
  </si>
  <si>
    <t>Meta total</t>
  </si>
  <si>
    <t>Cauca</t>
  </si>
  <si>
    <t>Buenos Aires</t>
  </si>
  <si>
    <t>May</t>
  </si>
  <si>
    <t>Jun</t>
  </si>
  <si>
    <t>Jul</t>
  </si>
  <si>
    <t>Ago</t>
  </si>
  <si>
    <t>Sep</t>
  </si>
  <si>
    <t>Oct</t>
  </si>
  <si>
    <t>Nov</t>
  </si>
  <si>
    <t>Morales</t>
  </si>
  <si>
    <t>Norte de Santander</t>
  </si>
  <si>
    <t>Abrego</t>
  </si>
  <si>
    <t>Ocaña</t>
  </si>
  <si>
    <t>Convención</t>
  </si>
  <si>
    <t>Teorama</t>
  </si>
  <si>
    <t>Hacarí</t>
  </si>
  <si>
    <t>La Playa de Belén</t>
  </si>
  <si>
    <t>Protección</t>
  </si>
  <si>
    <t>Sensibilizaciones general (10%)</t>
  </si>
  <si>
    <t>Sensibilizaciones VBG (80%)</t>
  </si>
  <si>
    <t>Gestión de Casos</t>
  </si>
  <si>
    <t>Cash VBG</t>
  </si>
  <si>
    <t>Kits - CARE Package- (meta hogar)</t>
  </si>
  <si>
    <t>Kits - CARE Package- (meta personas)</t>
  </si>
  <si>
    <t>Espacios seguros mejorados</t>
  </si>
  <si>
    <t>Espacios seguros participantes</t>
  </si>
  <si>
    <t>Salud</t>
  </si>
  <si>
    <t>Sensibilizaciones salud</t>
  </si>
  <si>
    <t>Servicios salud primaria</t>
  </si>
  <si>
    <t>Salud primaria personas únicas</t>
  </si>
  <si>
    <t>Kits post - parto</t>
  </si>
  <si>
    <t>Atención VBG</t>
  </si>
  <si>
    <t>MPC</t>
  </si>
  <si>
    <t>Entrega cash multipropósito (meta hogar)</t>
  </si>
  <si>
    <t>Entrega cash multipropósito (cantidad de entregas x 3)</t>
  </si>
  <si>
    <t>Metas mensuales</t>
  </si>
  <si>
    <t>SEGUIMIENTO MENSUAL - DEPARTAMENTO DE CAUCA</t>
  </si>
  <si>
    <t>MUNICIPIO: BUENOS AIRES</t>
  </si>
  <si>
    <t>TOTAL</t>
  </si>
  <si>
    <t>Meta</t>
  </si>
  <si>
    <t>Avance</t>
  </si>
  <si>
    <t>% Av</t>
  </si>
  <si>
    <t>Sensibilizaciones</t>
  </si>
  <si>
    <t xml:space="preserve"> </t>
  </si>
  <si>
    <t>MUNICIPIO: MORALES</t>
  </si>
  <si>
    <t>CONSOLIDADO CAUCA</t>
  </si>
  <si>
    <t>SEGUIMIENTO MENSUAL - DEPARTAMENTO DE NORTE DE SANTANDER</t>
  </si>
  <si>
    <t>MUNICIPIO: ABREGO</t>
  </si>
  <si>
    <t>MUNICIPIO: OCAÑA</t>
  </si>
  <si>
    <t>MUNICIPIO: CONVENCIÓN</t>
  </si>
  <si>
    <t>MUNICIPIO: TEORAMA</t>
  </si>
  <si>
    <t>MUNICIPIO: HACARÍ</t>
  </si>
  <si>
    <t>MUNICIPIO: LA PLAYA DE BELÉN</t>
  </si>
  <si>
    <t>CONSOLIDADO NORTE DE SANTANDER</t>
  </si>
  <si>
    <t>CONSOLIDADO POR DEPARTAMENTO Y GLOBAL - PROYECTO CONESPERANZA</t>
  </si>
  <si>
    <t>CAUCA - Meta</t>
  </si>
  <si>
    <t>CAUCA - Avance</t>
  </si>
  <si>
    <t>CAUCA - % Av</t>
  </si>
  <si>
    <t>NORTE DE SANTANDER - Meta</t>
  </si>
  <si>
    <t>NORTE DE SANTANDER - Avance</t>
  </si>
  <si>
    <t>NORTE DE SANTANDER - % Av</t>
  </si>
  <si>
    <t>GLOBAL - Meta</t>
  </si>
  <si>
    <t>GLOBAL - Avance</t>
  </si>
  <si>
    <t>GLOBAL - % Av</t>
  </si>
  <si>
    <t>Sensibilizaciones Gen</t>
  </si>
  <si>
    <t>Sensibilizaciones VBG</t>
  </si>
  <si>
    <t>Espacios seguros</t>
  </si>
  <si>
    <t>Espacios seguros-  participantes</t>
  </si>
  <si>
    <t>Salud - servicios</t>
  </si>
  <si>
    <t>Salud - personas</t>
  </si>
  <si>
    <t>MPCA hogar</t>
  </si>
  <si>
    <t>MPCA personas</t>
  </si>
  <si>
    <t>CONSOLIDADO AVANCE MENSUAL METAS</t>
  </si>
  <si>
    <t>May Meta</t>
  </si>
  <si>
    <t>May Avance</t>
  </si>
  <si>
    <t>Jun Meta</t>
  </si>
  <si>
    <t>Jun Avance</t>
  </si>
  <si>
    <t>Jul Meta</t>
  </si>
  <si>
    <t>Jul Avance</t>
  </si>
  <si>
    <t>Ago Meta</t>
  </si>
  <si>
    <t>Ago Avance</t>
  </si>
  <si>
    <t>Sep Meta</t>
  </si>
  <si>
    <t>Sep Avance</t>
  </si>
  <si>
    <t>Oct Meta</t>
  </si>
  <si>
    <t>Oct Avance</t>
  </si>
  <si>
    <t>Nov Meta</t>
  </si>
  <si>
    <t>Nov Avance</t>
  </si>
  <si>
    <t>June</t>
  </si>
  <si>
    <t>July</t>
  </si>
  <si>
    <t>August</t>
  </si>
  <si>
    <t>September</t>
  </si>
  <si>
    <t>October</t>
  </si>
  <si>
    <t>November</t>
  </si>
  <si>
    <t>No.</t>
  </si>
  <si>
    <t>Indicator Title</t>
  </si>
  <si>
    <t>Actividad (es) asociadas</t>
  </si>
  <si>
    <t>Target (individuals)</t>
  </si>
  <si>
    <t>Target (Household)</t>
  </si>
  <si>
    <t>Target (consultations)</t>
  </si>
  <si>
    <t>Total value of cash transferred</t>
  </si>
  <si>
    <t>Monthly target</t>
  </si>
  <si>
    <t xml:space="preserve">Cummulative (LOP)
</t>
  </si>
  <si>
    <t>% Cummulative (LOP)</t>
  </si>
  <si>
    <t>MPCA</t>
  </si>
  <si>
    <t>C-CA1 -MPC.a:</t>
  </si>
  <si>
    <t xml:space="preserve"> Number of households having received Multi-Purpose Cash (MPC)</t>
  </si>
  <si>
    <t>Entrega MPCA</t>
  </si>
  <si>
    <t>CUST-03-C:</t>
  </si>
  <si>
    <t xml:space="preserve"> Total value of Sector specific unconditional cash transfers distributed in USD</t>
  </si>
  <si>
    <t>Health</t>
  </si>
  <si>
    <t xml:space="preserve">C-CA1-H.8: </t>
  </si>
  <si>
    <t>Number of primary healthcare consultations provided</t>
  </si>
  <si>
    <t>Servicios Salud Primaria</t>
  </si>
  <si>
    <t xml:space="preserve">C-CA11-SP.5: </t>
  </si>
  <si>
    <t>Number of violence survivors receiving medical assistance, including clinical management of rape</t>
  </si>
  <si>
    <t>Protection</t>
  </si>
  <si>
    <t xml:space="preserve">C-CA9-CP.3 </t>
  </si>
  <si>
    <t>Number of children receiving protection support (e.g. family tracing, reunification, reintegration, case management services, etc)</t>
  </si>
  <si>
    <t xml:space="preserve">C-CA9-CP.4: </t>
  </si>
  <si>
    <t>Number of people accessing protection activities and/or services through child-friendly spaces</t>
  </si>
  <si>
    <t>C-CA11-PS.2:</t>
  </si>
  <si>
    <t xml:space="preserve"> Number of people receiving violence psycho-social support and/or violence case management (for medical support, use SP.5)</t>
  </si>
  <si>
    <t>Gestiones de caso VBG y espacios seguros</t>
  </si>
  <si>
    <t xml:space="preserve">C-CA16 - PP.b: </t>
  </si>
  <si>
    <t>Number of people affected benefiting from emergency cash assistance or direct service payments</t>
  </si>
  <si>
    <t>CASH VBG</t>
  </si>
  <si>
    <t xml:space="preserve">CUST-02-P: </t>
  </si>
  <si>
    <t>Total value of Sector specific unconditional cash transfers distributed in USD</t>
  </si>
  <si>
    <t>GVB Protection</t>
  </si>
  <si>
    <t>C-CA19 - PS.a:</t>
  </si>
  <si>
    <t xml:space="preserve"> Number of individuals who received life‑saving protection support through newly established or strengthened violence prevention and risk‑mitigation mechanisms.</t>
  </si>
  <si>
    <t>Sensibilizaciones y entrega de CARE Package</t>
  </si>
  <si>
    <t>Nutrition</t>
  </si>
  <si>
    <t>C-CA3-N.4:</t>
  </si>
  <si>
    <t xml:space="preserve"> Number of people screened for acute malnutrition</t>
  </si>
  <si>
    <t>C-CA4-N.6:</t>
  </si>
  <si>
    <t xml:space="preserve"> Number of people benefitting training and/or community awareness sessions on infant and young child feeding in emergencies</t>
  </si>
  <si>
    <t>C-CA5-N.a:</t>
  </si>
  <si>
    <t xml:space="preserve"> Number of households with malnourished children received cash and voucher assistance</t>
  </si>
  <si>
    <t xml:space="preserve">CUST-01-N: </t>
  </si>
  <si>
    <t>Total value of Sectorspecific unconditional cash transfers distributed in USD</t>
  </si>
  <si>
    <t>WASH</t>
  </si>
  <si>
    <t xml:space="preserve">C-CA6-WS.6: </t>
  </si>
  <si>
    <t>Number of people accessing sufficient and safe water for drinking, cooking and/or personal hygiene use as per agreed sector standard</t>
  </si>
  <si>
    <t xml:space="preserve">C-CA7-WS.c: </t>
  </si>
  <si>
    <t>Number of households receiving hygiene kits (incl. menstrual hygiene items)</t>
  </si>
  <si>
    <t xml:space="preserve">C-CA8-WS.17: </t>
  </si>
  <si>
    <t>Number of people receiving WASH/hygiene messaging</t>
  </si>
  <si>
    <t>AAP</t>
  </si>
  <si>
    <t xml:space="preserve">AAP: </t>
  </si>
  <si>
    <t>Percentage of issues identified in feedback processes for which solutions are in process or closed</t>
  </si>
  <si>
    <t>DASHBOARD DE AVANCE - PROYECTO CONESPERANZA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</si>
</sst>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_(* #,##0.00_);_(* \(#,##0.00\);_(* \-??_);_(@_)"/>
    <numFmt numFmtId="166" formatCode="#,##0;[Red]\(#,##0\);\-"/>
    <numFmt numFmtId="167" formatCode="0.0%"/>
  </numFmts>
  <fonts count="26">
    <font>
      <sz val="11"/>
      <color theme="1"/>
      <name val="Calibri"/>
      <family val="2"/>
      <charset val="1"/>
    </font>
    <font>
      <sz val="11"/>
      <color theme="1"/>
      <name val="Calibri"/>
      <family val="2"/>
      <scheme val="minor"/>
    </font>
    <font>
      <sz val="12"/>
      <color theme="1"/>
      <name val="Calibri"/>
      <family val="2"/>
      <charset val="1"/>
    </font>
    <font>
      <sz val="12"/>
      <color theme="0"/>
      <name val="Calibri"/>
      <family val="2"/>
      <charset val="1"/>
    </font>
    <font>
      <sz val="36"/>
      <color theme="0"/>
      <name val="Calibri"/>
      <family val="2"/>
      <charset val="1"/>
    </font>
    <font>
      <b/>
      <sz val="11"/>
      <color theme="1"/>
      <name val="Calibri"/>
      <family val="2"/>
      <charset val="1"/>
    </font>
    <font>
      <b/>
      <sz val="12"/>
      <color rgb="FF000000"/>
      <name val="Calibri"/>
      <family val="2"/>
      <charset val="1"/>
    </font>
    <font>
      <sz val="11"/>
      <color rgb="FF000000"/>
      <name val="Calibri"/>
      <family val="2"/>
      <charset val="1"/>
    </font>
    <font>
      <sz val="11"/>
      <color theme="1"/>
      <name val="Calibri"/>
      <family val="2"/>
    </font>
    <font>
      <sz val="11"/>
      <name val="Calibri"/>
      <family val="2"/>
    </font>
    <font>
      <sz val="11"/>
      <name val="Calibri"/>
      <family val="2"/>
      <charset val="1"/>
    </font>
    <font>
      <b/>
      <sz val="14"/>
      <color rgb="FFFFFFFF"/>
      <name val="Arial"/>
      <family val="2"/>
    </font>
    <font>
      <b/>
      <sz val="10"/>
      <color rgb="FFFFFFFF"/>
      <name val="Arial"/>
      <family val="2"/>
    </font>
    <font>
      <sz val="10"/>
      <name val="Arial"/>
      <family val="2"/>
    </font>
    <font>
      <b/>
      <sz val="10"/>
      <name val="Arial"/>
      <family val="2"/>
    </font>
    <font>
      <sz val="11"/>
      <color theme="1"/>
      <name val="Calibri"/>
      <family val="2"/>
      <charset val="1"/>
    </font>
    <font>
      <b/>
      <sz val="11"/>
      <color theme="1"/>
      <name val="Calibri"/>
      <family val="2"/>
      <scheme val="minor"/>
    </font>
    <font>
      <b/>
      <sz val="12"/>
      <color rgb="FFFFFFFF"/>
      <name val="Calibri Light"/>
      <family val="2"/>
      <scheme val="major"/>
    </font>
    <font>
      <sz val="12"/>
      <color rgb="FF000000"/>
      <name val="Calibri Light"/>
      <family val="2"/>
      <scheme val="major"/>
    </font>
    <font>
      <sz val="8"/>
      <name val="Calibri"/>
      <family val="2"/>
      <charset val="1"/>
    </font>
    <font>
      <sz val="11"/>
      <name val="Calibri"/>
      <family val="2"/>
      <scheme val="minor"/>
    </font>
    <font>
      <b/>
      <sz val="12"/>
      <color theme="1"/>
      <name val="Calibri Light"/>
      <family val="2"/>
      <scheme val="major"/>
    </font>
    <font>
      <b/>
      <sz val="11"/>
      <color theme="1"/>
      <name val="Calibri Light"/>
      <family val="2"/>
      <scheme val="major"/>
    </font>
    <font>
      <b/>
      <sz val="11"/>
      <color theme="1"/>
      <name val="Calibri"/>
      <family val="2"/>
    </font>
    <font>
      <sz val="11"/>
      <color theme="5"/>
      <name val="Calibri"/>
      <family val="2"/>
    </font>
    <font>
      <b/>
      <sz val="11"/>
      <name val="Calibri"/>
      <family val="2"/>
    </font>
  </fonts>
  <fills count="26">
    <fill>
      <patternFill patternType="none"/>
    </fill>
    <fill>
      <patternFill patternType="gray125"/>
    </fill>
    <fill>
      <patternFill patternType="solid">
        <fgColor theme="4"/>
        <bgColor rgb="FF2E75B6"/>
      </patternFill>
    </fill>
    <fill>
      <patternFill patternType="solid">
        <fgColor theme="6"/>
        <bgColor rgb="FFB3B3B3"/>
      </patternFill>
    </fill>
    <fill>
      <patternFill patternType="solid">
        <fgColor theme="7"/>
        <bgColor rgb="FFFF9900"/>
      </patternFill>
    </fill>
    <fill>
      <patternFill patternType="solid">
        <fgColor theme="8"/>
        <bgColor rgb="FF8FAADC"/>
      </patternFill>
    </fill>
    <fill>
      <patternFill patternType="solid">
        <fgColor theme="9"/>
        <bgColor rgb="FF548235"/>
      </patternFill>
    </fill>
    <fill>
      <patternFill patternType="solid">
        <fgColor theme="3"/>
        <bgColor rgb="FF305496"/>
      </patternFill>
    </fill>
    <fill>
      <patternFill patternType="solid">
        <fgColor theme="4" tint="0.79979857783745845"/>
        <bgColor rgb="FFE7E6E6"/>
      </patternFill>
    </fill>
    <fill>
      <patternFill patternType="solid">
        <fgColor theme="5"/>
        <bgColor rgb="FFFF9900"/>
      </patternFill>
    </fill>
    <fill>
      <patternFill patternType="solid">
        <fgColor theme="5" tint="0.79979857783745845"/>
        <bgColor rgb="FFFFF2CC"/>
      </patternFill>
    </fill>
    <fill>
      <patternFill patternType="solid">
        <fgColor theme="5" tint="0.39979247413556324"/>
        <bgColor rgb="FFF4B084"/>
      </patternFill>
    </fill>
    <fill>
      <patternFill patternType="solid">
        <fgColor theme="2"/>
        <bgColor rgb="FFDAE3F3"/>
      </patternFill>
    </fill>
    <fill>
      <patternFill patternType="solid">
        <fgColor theme="2" tint="-0.499984740745262"/>
        <bgColor rgb="FF548235"/>
      </patternFill>
    </fill>
    <fill>
      <patternFill patternType="solid">
        <fgColor rgb="FF1F3864"/>
        <bgColor rgb="FF333333"/>
      </patternFill>
    </fill>
    <fill>
      <patternFill patternType="solid">
        <fgColor rgb="FF8FAADC"/>
        <bgColor rgb="FFA5A5A5"/>
      </patternFill>
    </fill>
    <fill>
      <patternFill patternType="solid">
        <fgColor rgb="FF2E75B6"/>
        <bgColor rgb="FF4472C4"/>
      </patternFill>
    </fill>
    <fill>
      <patternFill patternType="solid">
        <fgColor rgb="FFFFE699"/>
        <bgColor rgb="FFFFEB9C"/>
      </patternFill>
    </fill>
    <fill>
      <patternFill patternType="solid">
        <fgColor rgb="FFFFF2CC"/>
        <bgColor rgb="FFFBE5D6"/>
      </patternFill>
    </fill>
    <fill>
      <patternFill patternType="solid">
        <fgColor rgb="FF305496"/>
        <bgColor rgb="FF44546A"/>
      </patternFill>
    </fill>
    <fill>
      <patternFill patternType="solid">
        <fgColor theme="3"/>
        <bgColor indexed="64"/>
      </patternFill>
    </fill>
    <fill>
      <patternFill patternType="solid">
        <fgColor rgb="FF002F6C"/>
        <bgColor rgb="FF002F6C"/>
      </patternFill>
    </fill>
    <fill>
      <patternFill patternType="solid">
        <fgColor theme="7"/>
        <bgColor indexed="64"/>
      </patternFill>
    </fill>
    <fill>
      <patternFill patternType="solid">
        <fgColor theme="6"/>
        <bgColor indexed="64"/>
      </patternFill>
    </fill>
    <fill>
      <patternFill patternType="solid">
        <fgColor theme="5"/>
        <bgColor rgb="FF002F6C"/>
      </patternFill>
    </fill>
    <fill>
      <patternFill patternType="solid">
        <fgColor theme="2"/>
        <bgColor indexed="64"/>
      </patternFill>
    </fill>
  </fills>
  <borders count="38">
    <border>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rgb="FFBFBFBF"/>
      </left>
      <right style="thin">
        <color rgb="FFBFBFBF"/>
      </right>
      <top style="thin">
        <color rgb="FFBFBFBF"/>
      </top>
      <bottom style="thin">
        <color rgb="FFBFBFBF"/>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top style="medium">
        <color auto="1"/>
      </top>
      <bottom/>
      <diagonal/>
    </border>
    <border>
      <left/>
      <right style="thin">
        <color indexed="64"/>
      </right>
      <top style="medium">
        <color indexed="64"/>
      </top>
      <bottom/>
      <diagonal/>
    </border>
    <border>
      <left/>
      <right/>
      <top/>
      <bottom style="thin">
        <color auto="1"/>
      </bottom>
      <diagonal/>
    </border>
    <border>
      <left/>
      <right/>
      <top style="thin">
        <color auto="1"/>
      </top>
      <bottom style="thin">
        <color auto="1"/>
      </bottom>
      <diagonal/>
    </border>
    <border>
      <left/>
      <right/>
      <top style="thin">
        <color auto="1"/>
      </top>
      <bottom style="medium">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s>
  <cellStyleXfs count="13">
    <xf numFmtId="0" fontId="0" fillId="0" borderId="0"/>
    <xf numFmtId="165" fontId="15" fillId="0" borderId="0"/>
    <xf numFmtId="0" fontId="15" fillId="0" borderId="0"/>
    <xf numFmtId="0" fontId="2" fillId="0" borderId="0"/>
    <xf numFmtId="0" fontId="3" fillId="2" borderId="0"/>
    <xf numFmtId="0" fontId="3" fillId="3" borderId="0"/>
    <xf numFmtId="0" fontId="3" fillId="4" borderId="0"/>
    <xf numFmtId="0" fontId="3" fillId="5" borderId="0"/>
    <xf numFmtId="0" fontId="3" fillId="6" borderId="0"/>
    <xf numFmtId="9" fontId="15" fillId="0" borderId="0" applyFont="0" applyFill="0" applyBorder="0" applyAlignment="0" applyProtection="0"/>
    <xf numFmtId="0" fontId="1" fillId="0" borderId="0"/>
    <xf numFmtId="9" fontId="1" fillId="0" borderId="0" applyFont="0" applyFill="0" applyBorder="0" applyAlignment="0" applyProtection="0"/>
    <xf numFmtId="0" fontId="1" fillId="0" borderId="0"/>
  </cellStyleXfs>
  <cellXfs count="186">
    <xf numFmtId="0" fontId="0" fillId="0" borderId="0" xfId="0"/>
    <xf numFmtId="0" fontId="12" fillId="16" borderId="23" xfId="0" applyFont="1" applyFill="1" applyBorder="1" applyAlignment="1">
      <alignment horizontal="center" vertical="center" wrapText="1"/>
    </xf>
    <xf numFmtId="0" fontId="5" fillId="9" borderId="13" xfId="0" applyFont="1" applyFill="1" applyBorder="1" applyAlignment="1">
      <alignment horizontal="center" vertical="center"/>
    </xf>
    <xf numFmtId="0" fontId="5" fillId="8" borderId="3" xfId="0" applyFont="1" applyFill="1" applyBorder="1"/>
    <xf numFmtId="0" fontId="5" fillId="8" borderId="5" xfId="0" applyFont="1" applyFill="1" applyBorder="1"/>
    <xf numFmtId="164" fontId="5" fillId="0" borderId="6" xfId="0" applyNumberFormat="1" applyFont="1" applyBorder="1" applyAlignment="1">
      <alignment horizontal="center" vertical="center"/>
    </xf>
    <xf numFmtId="164" fontId="5" fillId="0" borderId="7" xfId="0" applyNumberFormat="1" applyFont="1" applyBorder="1" applyAlignment="1">
      <alignment horizontal="center" vertical="center"/>
    </xf>
    <xf numFmtId="0" fontId="5" fillId="8" borderId="8" xfId="0" applyFont="1" applyFill="1" applyBorder="1"/>
    <xf numFmtId="0" fontId="5" fillId="0" borderId="9" xfId="0" applyFont="1" applyBorder="1" applyAlignment="1">
      <alignment vertical="center"/>
    </xf>
    <xf numFmtId="0" fontId="5" fillId="0" borderId="10" xfId="0" applyFont="1" applyBorder="1" applyAlignment="1">
      <alignment vertical="center"/>
    </xf>
    <xf numFmtId="0" fontId="5" fillId="8" borderId="8" xfId="0" applyFont="1" applyFill="1" applyBorder="1" applyAlignment="1">
      <alignment vertical="center"/>
    </xf>
    <xf numFmtId="0" fontId="5" fillId="8" borderId="11" xfId="0" applyFont="1" applyFill="1" applyBorder="1"/>
    <xf numFmtId="0" fontId="5" fillId="9" borderId="3" xfId="0" applyFont="1" applyFill="1" applyBorder="1" applyAlignment="1">
      <alignment horizontal="center" vertical="center"/>
    </xf>
    <xf numFmtId="0" fontId="5" fillId="9" borderId="4" xfId="0" applyFont="1" applyFill="1" applyBorder="1" applyAlignment="1">
      <alignment horizontal="center" vertical="center"/>
    </xf>
    <xf numFmtId="0" fontId="0" fillId="0" borderId="5" xfId="0" applyBorder="1" applyAlignment="1">
      <alignment vertical="top" wrapText="1"/>
    </xf>
    <xf numFmtId="0" fontId="7" fillId="0" borderId="6" xfId="0" applyFont="1" applyBorder="1" applyAlignment="1">
      <alignment horizontal="left" vertical="top" wrapText="1"/>
    </xf>
    <xf numFmtId="0" fontId="0" fillId="0" borderId="6" xfId="0" applyBorder="1" applyAlignment="1">
      <alignment horizontal="center" vertical="center" wrapText="1"/>
    </xf>
    <xf numFmtId="0" fontId="0" fillId="0" borderId="7" xfId="0" applyBorder="1" applyAlignment="1">
      <alignment horizontal="left" vertical="top" wrapText="1"/>
    </xf>
    <xf numFmtId="0" fontId="5" fillId="9" borderId="14" xfId="0" applyFont="1" applyFill="1" applyBorder="1" applyAlignment="1">
      <alignment horizontal="center" vertical="center"/>
    </xf>
    <xf numFmtId="0" fontId="5" fillId="9" borderId="15" xfId="0" applyFont="1" applyFill="1" applyBorder="1" applyAlignment="1">
      <alignment horizontal="center" vertical="center"/>
    </xf>
    <xf numFmtId="0" fontId="5" fillId="9" borderId="15" xfId="0" applyFont="1" applyFill="1" applyBorder="1" applyAlignment="1">
      <alignment horizontal="center" vertical="center" wrapText="1"/>
    </xf>
    <xf numFmtId="0" fontId="5" fillId="9" borderId="16" xfId="0" applyFont="1" applyFill="1" applyBorder="1" applyAlignment="1">
      <alignment horizontal="center" vertical="center" wrapText="1"/>
    </xf>
    <xf numFmtId="0" fontId="8" fillId="0" borderId="5" xfId="0" applyFont="1" applyBorder="1" applyAlignment="1">
      <alignment vertical="top" wrapText="1"/>
    </xf>
    <xf numFmtId="0" fontId="0" fillId="0" borderId="6" xfId="0" applyBorder="1" applyAlignment="1">
      <alignment horizontal="center" vertical="center"/>
    </xf>
    <xf numFmtId="0" fontId="9" fillId="0" borderId="5" xfId="0" applyFont="1" applyBorder="1" applyAlignment="1">
      <alignment horizontal="left" vertical="top" wrapText="1" indent="1"/>
    </xf>
    <xf numFmtId="0" fontId="10" fillId="0" borderId="6" xfId="0" applyFont="1" applyBorder="1" applyAlignment="1">
      <alignment horizontal="left" vertical="center" wrapText="1"/>
    </xf>
    <xf numFmtId="0" fontId="10" fillId="0" borderId="6" xfId="1" applyNumberFormat="1" applyFont="1" applyBorder="1" applyAlignment="1">
      <alignment horizontal="center" vertical="center" wrapText="1"/>
    </xf>
    <xf numFmtId="0" fontId="9" fillId="0" borderId="5" xfId="0" applyFont="1" applyBorder="1" applyAlignment="1">
      <alignment vertical="center" wrapText="1"/>
    </xf>
    <xf numFmtId="0" fontId="10" fillId="0" borderId="6" xfId="1" applyNumberFormat="1" applyFont="1" applyBorder="1" applyAlignment="1">
      <alignment horizontal="center" vertical="center"/>
    </xf>
    <xf numFmtId="0" fontId="8" fillId="0" borderId="7" xfId="0" applyFont="1" applyBorder="1" applyAlignment="1">
      <alignment horizontal="left" vertical="top" wrapText="1"/>
    </xf>
    <xf numFmtId="0" fontId="9" fillId="0" borderId="5" xfId="0" applyFont="1" applyBorder="1" applyAlignment="1">
      <alignment horizontal="left" vertical="center" wrapText="1" indent="1"/>
    </xf>
    <xf numFmtId="0" fontId="0" fillId="0" borderId="6" xfId="0" applyBorder="1" applyAlignment="1">
      <alignment horizontal="left" vertical="top" wrapText="1"/>
    </xf>
    <xf numFmtId="0" fontId="0" fillId="0" borderId="18" xfId="0" applyBorder="1" applyAlignment="1">
      <alignment vertical="center" wrapText="1"/>
    </xf>
    <xf numFmtId="0" fontId="0" fillId="0" borderId="18" xfId="0" applyBorder="1" applyAlignment="1">
      <alignment horizontal="center" vertical="center"/>
    </xf>
    <xf numFmtId="0" fontId="8" fillId="0" borderId="19" xfId="0" applyFont="1" applyBorder="1" applyAlignment="1">
      <alignment vertical="top" wrapText="1"/>
    </xf>
    <xf numFmtId="0" fontId="5" fillId="10" borderId="6" xfId="0" applyFont="1" applyFill="1" applyBorder="1" applyAlignment="1">
      <alignment vertical="top" wrapText="1"/>
    </xf>
    <xf numFmtId="0" fontId="5" fillId="9" borderId="20" xfId="0" applyFont="1" applyFill="1" applyBorder="1" applyAlignment="1">
      <alignment horizontal="center" vertical="center"/>
    </xf>
    <xf numFmtId="0" fontId="5" fillId="11" borderId="13" xfId="0" applyFont="1" applyFill="1" applyBorder="1" applyAlignment="1">
      <alignment horizontal="center"/>
    </xf>
    <xf numFmtId="0" fontId="0" fillId="10" borderId="13" xfId="0" applyFill="1" applyBorder="1" applyAlignment="1">
      <alignment horizontal="center" vertical="center"/>
    </xf>
    <xf numFmtId="0" fontId="5" fillId="11" borderId="13" xfId="0" applyFont="1" applyFill="1" applyBorder="1" applyAlignment="1">
      <alignment horizontal="center" vertical="center"/>
    </xf>
    <xf numFmtId="0" fontId="0" fillId="10" borderId="20" xfId="0" applyFill="1" applyBorder="1" applyAlignment="1">
      <alignment horizontal="center" vertical="center"/>
    </xf>
    <xf numFmtId="0" fontId="0" fillId="10" borderId="4" xfId="0" applyFill="1" applyBorder="1" applyAlignment="1">
      <alignment horizontal="center" vertical="center"/>
    </xf>
    <xf numFmtId="0" fontId="0" fillId="0" borderId="0" xfId="0" applyAlignment="1">
      <alignment horizontal="center"/>
    </xf>
    <xf numFmtId="0" fontId="5" fillId="0" borderId="5" xfId="0" applyFont="1" applyBorder="1"/>
    <xf numFmtId="0" fontId="5" fillId="0" borderId="6" xfId="0" applyFont="1" applyBorder="1"/>
    <xf numFmtId="0" fontId="5" fillId="12" borderId="9" xfId="0" applyFont="1" applyFill="1" applyBorder="1" applyAlignment="1">
      <alignment horizontal="center" vertical="center"/>
    </xf>
    <xf numFmtId="0" fontId="5" fillId="12" borderId="5" xfId="0" applyFont="1" applyFill="1" applyBorder="1" applyAlignment="1">
      <alignment horizontal="center" vertical="center"/>
    </xf>
    <xf numFmtId="0" fontId="5" fillId="12" borderId="6" xfId="0" applyFont="1" applyFill="1"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5" fillId="13" borderId="5" xfId="0" applyFont="1" applyFill="1" applyBorder="1" applyAlignment="1">
      <alignment horizontal="center" vertical="center"/>
    </xf>
    <xf numFmtId="0" fontId="5" fillId="13" borderId="6" xfId="0" applyFont="1" applyFill="1" applyBorder="1" applyAlignment="1">
      <alignment horizontal="center" vertical="center"/>
    </xf>
    <xf numFmtId="0" fontId="0" fillId="13" borderId="6" xfId="0" applyFill="1" applyBorder="1" applyAlignment="1">
      <alignment horizontal="center" vertical="center"/>
    </xf>
    <xf numFmtId="0" fontId="0" fillId="13" borderId="7" xfId="0" applyFill="1" applyBorder="1" applyAlignment="1">
      <alignment horizontal="center" vertical="center"/>
    </xf>
    <xf numFmtId="0" fontId="5" fillId="0" borderId="11" xfId="0" applyFont="1" applyBorder="1"/>
    <xf numFmtId="0" fontId="5" fillId="0" borderId="21" xfId="0" applyFont="1" applyBorder="1"/>
    <xf numFmtId="0" fontId="5" fillId="12" borderId="22" xfId="0" applyFont="1" applyFill="1" applyBorder="1" applyAlignment="1">
      <alignment horizontal="center" vertical="center"/>
    </xf>
    <xf numFmtId="0" fontId="5" fillId="12" borderId="11" xfId="0" applyFont="1" applyFill="1" applyBorder="1" applyAlignment="1">
      <alignment horizontal="center" vertical="center"/>
    </xf>
    <xf numFmtId="0" fontId="5" fillId="12" borderId="21"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5" fillId="13" borderId="11" xfId="0" applyFont="1" applyFill="1" applyBorder="1" applyAlignment="1">
      <alignment horizontal="center" vertical="center"/>
    </xf>
    <xf numFmtId="0" fontId="5" fillId="13" borderId="21" xfId="0" applyFont="1" applyFill="1" applyBorder="1" applyAlignment="1">
      <alignment horizontal="center" vertical="center"/>
    </xf>
    <xf numFmtId="0" fontId="0" fillId="13" borderId="21" xfId="0" applyFill="1" applyBorder="1" applyAlignment="1">
      <alignment horizontal="center" vertical="center"/>
    </xf>
    <xf numFmtId="0" fontId="0" fillId="13" borderId="12" xfId="0" applyFill="1" applyBorder="1" applyAlignment="1">
      <alignment horizontal="center" vertical="center"/>
    </xf>
    <xf numFmtId="9" fontId="0" fillId="0" borderId="0" xfId="0" applyNumberFormat="1"/>
    <xf numFmtId="0" fontId="0" fillId="0" borderId="0" xfId="0" applyAlignment="1">
      <alignment horizontal="center" vertical="center"/>
    </xf>
    <xf numFmtId="0" fontId="13" fillId="0" borderId="23" xfId="0" applyFont="1" applyBorder="1" applyAlignment="1">
      <alignment horizontal="left" vertical="center" wrapText="1"/>
    </xf>
    <xf numFmtId="166" fontId="14" fillId="17" borderId="23" xfId="0" applyNumberFormat="1" applyFont="1" applyFill="1" applyBorder="1" applyAlignment="1">
      <alignment horizontal="center" vertical="center" wrapText="1"/>
    </xf>
    <xf numFmtId="167" fontId="14" fillId="17" borderId="23" xfId="0" applyNumberFormat="1" applyFont="1" applyFill="1" applyBorder="1" applyAlignment="1">
      <alignment horizontal="center" vertical="center" wrapText="1"/>
    </xf>
    <xf numFmtId="166" fontId="13" fillId="0" borderId="23" xfId="0" applyNumberFormat="1" applyFont="1" applyBorder="1" applyAlignment="1">
      <alignment horizontal="center" vertical="center" wrapText="1"/>
    </xf>
    <xf numFmtId="166" fontId="13" fillId="18" borderId="23" xfId="0" applyNumberFormat="1" applyFont="1" applyFill="1" applyBorder="1" applyAlignment="1">
      <alignment horizontal="center" vertical="center" wrapText="1"/>
    </xf>
    <xf numFmtId="167" fontId="13" fillId="0" borderId="23" xfId="0" applyNumberFormat="1" applyFont="1" applyBorder="1" applyAlignment="1">
      <alignment horizontal="center" vertical="center" wrapText="1"/>
    </xf>
    <xf numFmtId="0" fontId="0" fillId="20" borderId="0" xfId="0" applyFill="1"/>
    <xf numFmtId="0" fontId="1" fillId="0" borderId="0" xfId="10"/>
    <xf numFmtId="0" fontId="17" fillId="21" borderId="24" xfId="10" applyFont="1" applyFill="1" applyBorder="1" applyAlignment="1">
      <alignment horizontal="center" vertical="center" wrapText="1"/>
    </xf>
    <xf numFmtId="0" fontId="17" fillId="21" borderId="25" xfId="10" applyFont="1" applyFill="1" applyBorder="1" applyAlignment="1">
      <alignment horizontal="center" vertical="center" wrapText="1"/>
    </xf>
    <xf numFmtId="0" fontId="17" fillId="21" borderId="26" xfId="10" applyFont="1" applyFill="1" applyBorder="1" applyAlignment="1">
      <alignment horizontal="center" vertical="center" wrapText="1"/>
    </xf>
    <xf numFmtId="0" fontId="1" fillId="0" borderId="0" xfId="10" applyAlignment="1">
      <alignment horizontal="center" vertical="center"/>
    </xf>
    <xf numFmtId="0" fontId="18" fillId="0" borderId="6" xfId="10" applyFont="1" applyBorder="1" applyAlignment="1">
      <alignment horizontal="left" vertical="top" wrapText="1"/>
    </xf>
    <xf numFmtId="0" fontId="18" fillId="0" borderId="6" xfId="10" applyFont="1" applyBorder="1" applyAlignment="1">
      <alignment horizontal="left" vertical="top"/>
    </xf>
    <xf numFmtId="0" fontId="5" fillId="0" borderId="0" xfId="0" applyFont="1"/>
    <xf numFmtId="0" fontId="5" fillId="0" borderId="0" xfId="0" applyFont="1" applyAlignment="1">
      <alignment horizontal="center" vertical="center"/>
    </xf>
    <xf numFmtId="0" fontId="0" fillId="0" borderId="6" xfId="0" applyBorder="1"/>
    <xf numFmtId="0" fontId="0" fillId="0" borderId="7" xfId="0" applyBorder="1"/>
    <xf numFmtId="0" fontId="0" fillId="0" borderId="21" xfId="0" applyBorder="1"/>
    <xf numFmtId="0" fontId="0" fillId="0" borderId="12" xfId="0" applyBorder="1"/>
    <xf numFmtId="3" fontId="20" fillId="0" borderId="6" xfId="10" applyNumberFormat="1" applyFont="1" applyBorder="1" applyAlignment="1">
      <alignment horizontal="center" vertical="center"/>
    </xf>
    <xf numFmtId="3" fontId="20" fillId="0" borderId="21" xfId="10" applyNumberFormat="1" applyFont="1" applyBorder="1" applyAlignment="1">
      <alignment horizontal="center" vertical="center"/>
    </xf>
    <xf numFmtId="0" fontId="18" fillId="23" borderId="6" xfId="10" applyFont="1" applyFill="1" applyBorder="1" applyAlignment="1">
      <alignment horizontal="left" vertical="top"/>
    </xf>
    <xf numFmtId="3" fontId="20" fillId="23" borderId="6" xfId="10" applyNumberFormat="1" applyFont="1" applyFill="1" applyBorder="1" applyAlignment="1">
      <alignment horizontal="center" vertical="center"/>
    </xf>
    <xf numFmtId="0" fontId="0" fillId="0" borderId="9" xfId="0" applyBorder="1" applyAlignment="1">
      <alignment horizontal="left" vertical="top" wrapText="1"/>
    </xf>
    <xf numFmtId="0" fontId="0" fillId="23" borderId="9" xfId="0" applyFill="1" applyBorder="1" applyAlignment="1">
      <alignment horizontal="left" vertical="top" wrapText="1"/>
    </xf>
    <xf numFmtId="0" fontId="0" fillId="22" borderId="9" xfId="0" applyFill="1" applyBorder="1" applyAlignment="1">
      <alignment horizontal="left" vertical="top" wrapText="1"/>
    </xf>
    <xf numFmtId="0" fontId="17" fillId="21" borderId="3" xfId="10" applyFont="1" applyFill="1" applyBorder="1" applyAlignment="1">
      <alignment horizontal="center" vertical="center" wrapText="1"/>
    </xf>
    <xf numFmtId="0" fontId="17" fillId="21" borderId="13" xfId="10" applyFont="1" applyFill="1" applyBorder="1" applyAlignment="1">
      <alignment horizontal="center" vertical="center" textRotation="90" wrapText="1"/>
    </xf>
    <xf numFmtId="0" fontId="17" fillId="21" borderId="20" xfId="10" applyFont="1" applyFill="1" applyBorder="1" applyAlignment="1">
      <alignment horizontal="center" vertical="center" wrapText="1"/>
    </xf>
    <xf numFmtId="0" fontId="17" fillId="21" borderId="31" xfId="10" applyFont="1" applyFill="1" applyBorder="1" applyAlignment="1">
      <alignment horizontal="center" vertical="center" wrapText="1"/>
    </xf>
    <xf numFmtId="0" fontId="1" fillId="0" borderId="5" xfId="10" applyBorder="1"/>
    <xf numFmtId="0" fontId="1" fillId="23" borderId="5" xfId="10" applyFill="1" applyBorder="1"/>
    <xf numFmtId="0" fontId="1" fillId="0" borderId="11" xfId="10" applyBorder="1"/>
    <xf numFmtId="0" fontId="18" fillId="0" borderId="21" xfId="10" applyFont="1" applyBorder="1" applyAlignment="1">
      <alignment horizontal="left" vertical="top"/>
    </xf>
    <xf numFmtId="0" fontId="18" fillId="0" borderId="22" xfId="0" applyFont="1"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23" borderId="33" xfId="0" applyFill="1" applyBorder="1" applyAlignment="1">
      <alignment horizontal="left" vertical="top" wrapText="1"/>
    </xf>
    <xf numFmtId="0" fontId="18" fillId="0" borderId="34" xfId="0" applyFont="1" applyBorder="1" applyAlignment="1">
      <alignment horizontal="left" vertical="top" wrapText="1"/>
    </xf>
    <xf numFmtId="0" fontId="9" fillId="0" borderId="13" xfId="11" applyNumberFormat="1" applyFont="1" applyFill="1" applyBorder="1" applyAlignment="1">
      <alignment horizontal="center" vertical="center"/>
    </xf>
    <xf numFmtId="0" fontId="9" fillId="0" borderId="6" xfId="11" applyNumberFormat="1" applyFont="1" applyFill="1" applyBorder="1" applyAlignment="1">
      <alignment horizontal="center" vertical="center"/>
    </xf>
    <xf numFmtId="0" fontId="20" fillId="0" borderId="6" xfId="10" applyFont="1" applyBorder="1" applyAlignment="1">
      <alignment horizontal="center" vertical="center"/>
    </xf>
    <xf numFmtId="0" fontId="9" fillId="23" borderId="6" xfId="11" applyNumberFormat="1" applyFont="1" applyFill="1" applyBorder="1" applyAlignment="1">
      <alignment horizontal="center" vertical="center"/>
    </xf>
    <xf numFmtId="0" fontId="20" fillId="23" borderId="6" xfId="10" applyFont="1" applyFill="1" applyBorder="1" applyAlignment="1">
      <alignment horizontal="center" vertical="center"/>
    </xf>
    <xf numFmtId="0" fontId="9" fillId="0" borderId="21" xfId="11" applyNumberFormat="1" applyFont="1" applyFill="1" applyBorder="1" applyAlignment="1">
      <alignment horizontal="center" vertical="center"/>
    </xf>
    <xf numFmtId="0" fontId="20" fillId="0" borderId="21" xfId="10" applyFont="1" applyBorder="1" applyAlignment="1">
      <alignment horizontal="center" vertical="center"/>
    </xf>
    <xf numFmtId="0" fontId="17" fillId="24" borderId="28" xfId="10" applyFont="1" applyFill="1" applyBorder="1" applyAlignment="1">
      <alignment horizontal="center" vertical="center" wrapText="1"/>
    </xf>
    <xf numFmtId="0" fontId="9" fillId="0" borderId="13" xfId="9" applyNumberFormat="1" applyFont="1" applyFill="1" applyBorder="1" applyAlignment="1">
      <alignment horizontal="center" vertical="center"/>
    </xf>
    <xf numFmtId="0" fontId="9" fillId="0" borderId="6" xfId="9" applyNumberFormat="1" applyFont="1" applyFill="1" applyBorder="1" applyAlignment="1">
      <alignment horizontal="center" vertical="center"/>
    </xf>
    <xf numFmtId="0" fontId="20" fillId="0" borderId="6" xfId="9" applyNumberFormat="1" applyFont="1" applyBorder="1" applyAlignment="1">
      <alignment horizontal="center" vertical="center"/>
    </xf>
    <xf numFmtId="0" fontId="9" fillId="23" borderId="6" xfId="9" applyNumberFormat="1" applyFont="1" applyFill="1" applyBorder="1" applyAlignment="1">
      <alignment horizontal="center" vertical="center"/>
    </xf>
    <xf numFmtId="0" fontId="20" fillId="23" borderId="6" xfId="9" applyNumberFormat="1" applyFont="1" applyFill="1" applyBorder="1" applyAlignment="1">
      <alignment horizontal="center" vertical="center"/>
    </xf>
    <xf numFmtId="0" fontId="9" fillId="0" borderId="21" xfId="9" applyNumberFormat="1" applyFont="1" applyFill="1" applyBorder="1" applyAlignment="1">
      <alignment horizontal="center" vertical="center"/>
    </xf>
    <xf numFmtId="0" fontId="20" fillId="0" borderId="21" xfId="9" applyNumberFormat="1" applyFont="1" applyBorder="1" applyAlignment="1">
      <alignment horizontal="center" vertical="center"/>
    </xf>
    <xf numFmtId="0" fontId="16" fillId="0" borderId="0" xfId="10" applyFont="1"/>
    <xf numFmtId="0" fontId="0" fillId="0" borderId="9" xfId="0" applyBorder="1" applyAlignment="1">
      <alignment horizontal="center" vertical="center" wrapText="1"/>
    </xf>
    <xf numFmtId="0" fontId="5" fillId="9" borderId="35" xfId="0" applyFont="1" applyFill="1" applyBorder="1" applyAlignment="1">
      <alignment horizontal="center" vertical="center" wrapText="1"/>
    </xf>
    <xf numFmtId="0" fontId="0" fillId="0" borderId="36" xfId="0" applyBorder="1" applyAlignment="1">
      <alignment horizontal="center" vertical="center" wrapText="1"/>
    </xf>
    <xf numFmtId="0" fontId="1" fillId="0" borderId="6" xfId="10" applyBorder="1" applyAlignment="1">
      <alignment horizontal="center" vertical="center"/>
    </xf>
    <xf numFmtId="0" fontId="21" fillId="0" borderId="13" xfId="10" applyFont="1" applyBorder="1" applyAlignment="1">
      <alignment horizontal="center" vertical="center"/>
    </xf>
    <xf numFmtId="0" fontId="21" fillId="0" borderId="20" xfId="10" applyFont="1" applyBorder="1" applyAlignment="1">
      <alignment horizontal="center" vertical="center"/>
    </xf>
    <xf numFmtId="0" fontId="21" fillId="0" borderId="5" xfId="11" applyNumberFormat="1" applyFont="1" applyFill="1" applyBorder="1" applyAlignment="1">
      <alignment horizontal="center" vertical="center"/>
    </xf>
    <xf numFmtId="0" fontId="21" fillId="0" borderId="6" xfId="10" applyFont="1" applyBorder="1" applyAlignment="1">
      <alignment horizontal="center" vertical="center"/>
    </xf>
    <xf numFmtId="0" fontId="21" fillId="0" borderId="9" xfId="10" applyFont="1" applyBorder="1" applyAlignment="1">
      <alignment horizontal="center" vertical="center"/>
    </xf>
    <xf numFmtId="0" fontId="21" fillId="0" borderId="5" xfId="10" applyFont="1" applyBorder="1" applyAlignment="1">
      <alignment horizontal="center" vertical="center"/>
    </xf>
    <xf numFmtId="0" fontId="21" fillId="23" borderId="5" xfId="11" applyNumberFormat="1" applyFont="1" applyFill="1" applyBorder="1" applyAlignment="1">
      <alignment horizontal="center" vertical="center"/>
    </xf>
    <xf numFmtId="0" fontId="21" fillId="23" borderId="6" xfId="10" applyFont="1" applyFill="1" applyBorder="1" applyAlignment="1">
      <alignment horizontal="center" vertical="center"/>
    </xf>
    <xf numFmtId="0" fontId="21" fillId="23" borderId="9" xfId="10" applyFont="1" applyFill="1" applyBorder="1" applyAlignment="1">
      <alignment horizontal="center" vertical="center"/>
    </xf>
    <xf numFmtId="0" fontId="22" fillId="23" borderId="5" xfId="12" applyFont="1" applyFill="1" applyBorder="1" applyAlignment="1">
      <alignment horizontal="center" vertical="center" wrapText="1"/>
    </xf>
    <xf numFmtId="0" fontId="21" fillId="23" borderId="5" xfId="10" applyFont="1" applyFill="1" applyBorder="1" applyAlignment="1">
      <alignment horizontal="center" vertical="center"/>
    </xf>
    <xf numFmtId="0" fontId="21" fillId="0" borderId="11" xfId="10" applyFont="1" applyBorder="1" applyAlignment="1">
      <alignment horizontal="center" vertical="center"/>
    </xf>
    <xf numFmtId="0" fontId="21" fillId="0" borderId="21" xfId="10" applyFont="1" applyBorder="1" applyAlignment="1">
      <alignment horizontal="center" vertical="center"/>
    </xf>
    <xf numFmtId="0" fontId="21" fillId="0" borderId="22" xfId="10" applyFont="1" applyBorder="1" applyAlignment="1">
      <alignment horizontal="center" vertical="center"/>
    </xf>
    <xf numFmtId="0" fontId="21" fillId="0" borderId="24" xfId="10" applyFont="1" applyBorder="1" applyAlignment="1">
      <alignment horizontal="center" vertical="center"/>
    </xf>
    <xf numFmtId="0" fontId="21" fillId="0" borderId="25" xfId="10" applyFont="1" applyBorder="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0" fillId="13" borderId="0" xfId="0" applyFill="1" applyAlignment="1">
      <alignment horizontal="center" vertical="center"/>
    </xf>
    <xf numFmtId="0" fontId="23" fillId="25" borderId="6" xfId="0" applyFont="1" applyFill="1" applyBorder="1" applyAlignment="1">
      <alignment horizontal="center" vertical="center"/>
    </xf>
    <xf numFmtId="0" fontId="5" fillId="12" borderId="37" xfId="0" applyFont="1" applyFill="1" applyBorder="1" applyAlignment="1">
      <alignment horizontal="center" vertical="center"/>
    </xf>
    <xf numFmtId="0" fontId="8" fillId="0" borderId="8" xfId="0" applyFont="1" applyBorder="1" applyAlignment="1">
      <alignment vertical="top" wrapText="1"/>
    </xf>
    <xf numFmtId="167" fontId="25" fillId="0" borderId="13" xfId="11" applyNumberFormat="1" applyFont="1" applyFill="1" applyBorder="1" applyAlignment="1">
      <alignment horizontal="center" vertical="center"/>
    </xf>
    <xf numFmtId="10" fontId="25" fillId="0" borderId="18" xfId="11" applyNumberFormat="1" applyFont="1" applyFill="1" applyBorder="1" applyAlignment="1">
      <alignment horizontal="center" vertical="center"/>
    </xf>
    <xf numFmtId="167" fontId="25" fillId="0" borderId="6" xfId="11" applyNumberFormat="1" applyFont="1" applyFill="1" applyBorder="1" applyAlignment="1">
      <alignment horizontal="center" vertical="center"/>
    </xf>
    <xf numFmtId="10" fontId="25" fillId="23" borderId="6" xfId="11" applyNumberFormat="1" applyFont="1" applyFill="1" applyBorder="1" applyAlignment="1">
      <alignment horizontal="center" vertical="center"/>
    </xf>
    <xf numFmtId="10" fontId="25" fillId="0" borderId="6" xfId="11" applyNumberFormat="1" applyFont="1" applyFill="1" applyBorder="1" applyAlignment="1">
      <alignment horizontal="center" vertical="center"/>
    </xf>
    <xf numFmtId="10" fontId="25" fillId="0" borderId="21" xfId="11" applyNumberFormat="1" applyFont="1" applyFill="1" applyBorder="1" applyAlignment="1">
      <alignment horizontal="center" vertical="center"/>
    </xf>
    <xf numFmtId="9" fontId="25" fillId="0" borderId="6" xfId="9" applyFont="1" applyFill="1" applyBorder="1" applyAlignment="1">
      <alignment horizontal="center" vertical="center"/>
    </xf>
    <xf numFmtId="9" fontId="25" fillId="23" borderId="6" xfId="9" applyFont="1" applyFill="1" applyBorder="1" applyAlignment="1">
      <alignment horizontal="center" vertical="center"/>
    </xf>
    <xf numFmtId="9" fontId="25" fillId="0" borderId="21" xfId="9" applyFont="1" applyFill="1" applyBorder="1" applyAlignment="1">
      <alignment horizontal="center" vertical="center"/>
    </xf>
    <xf numFmtId="167" fontId="25" fillId="0" borderId="4" xfId="11" applyNumberFormat="1" applyFont="1" applyFill="1" applyBorder="1" applyAlignment="1">
      <alignment horizontal="center" vertical="center"/>
    </xf>
    <xf numFmtId="10" fontId="25" fillId="0" borderId="19" xfId="11" applyNumberFormat="1" applyFont="1" applyFill="1" applyBorder="1" applyAlignment="1">
      <alignment horizontal="center" vertical="center"/>
    </xf>
    <xf numFmtId="167" fontId="25" fillId="0" borderId="7" xfId="11" applyNumberFormat="1" applyFont="1" applyFill="1" applyBorder="1" applyAlignment="1">
      <alignment horizontal="center" vertical="center"/>
    </xf>
    <xf numFmtId="10" fontId="25" fillId="23" borderId="7" xfId="11" applyNumberFormat="1" applyFont="1" applyFill="1" applyBorder="1" applyAlignment="1">
      <alignment horizontal="center" vertical="center"/>
    </xf>
    <xf numFmtId="10" fontId="25" fillId="0" borderId="7" xfId="11" applyNumberFormat="1" applyFont="1" applyFill="1" applyBorder="1" applyAlignment="1">
      <alignment horizontal="center" vertical="center"/>
    </xf>
    <xf numFmtId="10" fontId="25" fillId="0" borderId="12" xfId="11" applyNumberFormat="1" applyFont="1" applyFill="1" applyBorder="1" applyAlignment="1">
      <alignment horizontal="center" vertical="center"/>
    </xf>
    <xf numFmtId="0" fontId="0" fillId="0" borderId="1" xfId="0" applyBorder="1" applyAlignment="1">
      <alignment horizontal="center"/>
    </xf>
    <xf numFmtId="0" fontId="4" fillId="7" borderId="2" xfId="0" applyFont="1" applyFill="1" applyBorder="1" applyAlignment="1">
      <alignment horizontal="center" vertical="center"/>
    </xf>
    <xf numFmtId="0" fontId="5" fillId="0" borderId="4" xfId="0" applyFont="1" applyBorder="1" applyAlignment="1">
      <alignment horizontal="center" vertical="center"/>
    </xf>
    <xf numFmtId="0" fontId="5" fillId="8" borderId="9" xfId="0" applyFont="1" applyFill="1" applyBorder="1" applyAlignment="1">
      <alignment horizontal="center" vertical="center"/>
    </xf>
    <xf numFmtId="0" fontId="5" fillId="8" borderId="33" xfId="0" applyFont="1" applyFill="1" applyBorder="1" applyAlignment="1">
      <alignment horizontal="center" vertical="center"/>
    </xf>
    <xf numFmtId="0" fontId="5" fillId="8" borderId="37" xfId="0" applyFont="1" applyFill="1" applyBorder="1" applyAlignment="1">
      <alignment horizontal="center" vertical="center"/>
    </xf>
    <xf numFmtId="0" fontId="5" fillId="10" borderId="17" xfId="0" applyFont="1" applyFill="1" applyBorder="1" applyAlignment="1">
      <alignment horizontal="left" vertical="top" wrapText="1"/>
    </xf>
    <xf numFmtId="0" fontId="5" fillId="10" borderId="6" xfId="0" applyFont="1" applyFill="1" applyBorder="1" applyAlignment="1">
      <alignment horizontal="left" vertical="top" wrapText="1"/>
    </xf>
    <xf numFmtId="0" fontId="5" fillId="0" borderId="7" xfId="0" applyFont="1" applyBorder="1" applyAlignment="1">
      <alignment horizontal="center" vertical="center"/>
    </xf>
    <xf numFmtId="3" fontId="6" fillId="0" borderId="12" xfId="0" applyNumberFormat="1" applyFont="1" applyBorder="1" applyAlignment="1">
      <alignment horizontal="center" vertical="center"/>
    </xf>
    <xf numFmtId="0" fontId="5" fillId="9" borderId="13" xfId="0" applyFont="1" applyFill="1" applyBorder="1" applyAlignment="1">
      <alignment horizontal="center" vertical="center"/>
    </xf>
    <xf numFmtId="9" fontId="0" fillId="0" borderId="6" xfId="0" applyNumberFormat="1" applyBorder="1" applyAlignment="1">
      <alignment horizontal="center" vertical="center"/>
    </xf>
    <xf numFmtId="0" fontId="11" fillId="14" borderId="0" xfId="0" applyFont="1" applyFill="1" applyAlignment="1">
      <alignment horizontal="center" vertical="center" wrapText="1"/>
    </xf>
    <xf numFmtId="0" fontId="12" fillId="15" borderId="0" xfId="0" applyFont="1" applyFill="1" applyAlignment="1">
      <alignment horizontal="center" vertical="center" wrapText="1"/>
    </xf>
    <xf numFmtId="0" fontId="12" fillId="16" borderId="23" xfId="0" applyFont="1" applyFill="1" applyBorder="1" applyAlignment="1">
      <alignment horizontal="center" vertical="center" wrapText="1"/>
    </xf>
    <xf numFmtId="0" fontId="12" fillId="19" borderId="0" xfId="0" applyFont="1" applyFill="1" applyAlignment="1">
      <alignment horizontal="center" vertical="center" wrapText="1"/>
    </xf>
    <xf numFmtId="0" fontId="17" fillId="21" borderId="30" xfId="10" applyFont="1" applyFill="1" applyBorder="1" applyAlignment="1">
      <alignment horizontal="center" vertical="center" wrapText="1"/>
    </xf>
    <xf numFmtId="0" fontId="17" fillId="21" borderId="28" xfId="10" applyFont="1" applyFill="1" applyBorder="1" applyAlignment="1">
      <alignment horizontal="center" vertical="center" wrapText="1"/>
    </xf>
    <xf numFmtId="0" fontId="17" fillId="21" borderId="29" xfId="10" applyFont="1" applyFill="1" applyBorder="1" applyAlignment="1">
      <alignment horizontal="center" vertical="center" wrapText="1"/>
    </xf>
    <xf numFmtId="0" fontId="17" fillId="21" borderId="27" xfId="10" applyFont="1" applyFill="1" applyBorder="1" applyAlignment="1">
      <alignment horizontal="center" vertical="center" wrapText="1"/>
    </xf>
    <xf numFmtId="0" fontId="11" fillId="14" borderId="0" xfId="0" applyFont="1" applyFill="1" applyAlignment="1">
      <alignment horizontal="center" vertical="center"/>
    </xf>
    <xf numFmtId="0" fontId="0" fillId="20" borderId="0" xfId="0" applyFill="1" applyAlignment="1">
      <alignment horizontal="center"/>
    </xf>
  </cellXfs>
  <cellStyles count="13">
    <cellStyle name="Comma" xfId="1" builtinId="3"/>
    <cellStyle name="Énfasis1 2" xfId="4" xr:uid="{00000000-0005-0000-0000-000008000000}"/>
    <cellStyle name="Énfasis3 2" xfId="5" xr:uid="{00000000-0005-0000-0000-000009000000}"/>
    <cellStyle name="Énfasis4 2" xfId="6" xr:uid="{00000000-0005-0000-0000-00000A000000}"/>
    <cellStyle name="Énfasis5 2" xfId="7" xr:uid="{00000000-0005-0000-0000-00000B000000}"/>
    <cellStyle name="Énfasis6 2" xfId="8" xr:uid="{00000000-0005-0000-0000-00000C000000}"/>
    <cellStyle name="Normal" xfId="0" builtinId="0"/>
    <cellStyle name="Normal 2" xfId="2" xr:uid="{00000000-0005-0000-0000-000006000000}"/>
    <cellStyle name="Normal 2 2" xfId="3" xr:uid="{00000000-0005-0000-0000-000007000000}"/>
    <cellStyle name="Normal 2 3" xfId="12" xr:uid="{A3E920BA-9F4E-42E9-9B37-8C9A4CA1F18C}"/>
    <cellStyle name="Normal 3" xfId="10" xr:uid="{74608626-2676-4AE7-8D77-66C90A000664}"/>
    <cellStyle name="Percent" xfId="9" builtinId="5"/>
    <cellStyle name="Porcentaje 2" xfId="11" xr:uid="{5C4F3672-7084-4419-8C54-8525E2AF5BB0}"/>
  </cellStyles>
  <dxfs count="258">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
      <font>
        <b/>
        <sz val="10"/>
        <color rgb="FF006100"/>
        <name val="Arial"/>
        <charset val="1"/>
      </font>
      <fill>
        <patternFill>
          <bgColor rgb="FFC6EFCE"/>
        </patternFill>
      </fill>
    </dxf>
    <dxf>
      <font>
        <b/>
        <sz val="10"/>
        <color rgb="FF9C6500"/>
        <name val="Arial"/>
        <charset val="1"/>
      </font>
      <fill>
        <patternFill>
          <bgColor rgb="FFFFEB9C"/>
        </patternFill>
      </fill>
    </dxf>
    <dxf>
      <font>
        <b/>
        <sz val="10"/>
        <color rgb="FF9C0006"/>
        <name val="Arial"/>
        <charset val="1"/>
      </font>
      <fill>
        <patternFill>
          <bgColor rgb="FFF4B084"/>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BFBFBF"/>
      <rgbColor rgb="FF767171"/>
      <rgbColor rgb="FF8FAADC"/>
      <rgbColor rgb="FF7030A0"/>
      <rgbColor rgb="FFFFF2CC"/>
      <rgbColor rgb="FFDAE3F3"/>
      <rgbColor rgb="FF660066"/>
      <rgbColor rgb="FFF4B183"/>
      <rgbColor rgb="FF2E75B6"/>
      <rgbColor rgb="FFD9D9D9"/>
      <rgbColor rgb="FF000080"/>
      <rgbColor rgb="FFFF00FF"/>
      <rgbColor rgb="FFFFFF00"/>
      <rgbColor rgb="FF00FFFF"/>
      <rgbColor rgb="FF800080"/>
      <rgbColor rgb="FF800000"/>
      <rgbColor rgb="FF008080"/>
      <rgbColor rgb="FF0000FF"/>
      <rgbColor rgb="FF00CCFF"/>
      <rgbColor rgb="FFE7E6E6"/>
      <rgbColor rgb="FFC6EFCE"/>
      <rgbColor rgb="FFFFEB9C"/>
      <rgbColor rgb="FFB3B3B3"/>
      <rgbColor rgb="FFF4B084"/>
      <rgbColor rgb="FFFBE5D6"/>
      <rgbColor rgb="FFFFE699"/>
      <rgbColor rgb="FF4472C4"/>
      <rgbColor rgb="FF5B9BD5"/>
      <rgbColor rgb="FF70AD47"/>
      <rgbColor rgb="FFFFC000"/>
      <rgbColor rgb="FFFF9900"/>
      <rgbColor rgb="FFED7D31"/>
      <rgbColor rgb="FF44546A"/>
      <rgbColor rgb="FFA5A5A5"/>
      <rgbColor rgb="FF1F3864"/>
      <rgbColor rgb="FF548235"/>
      <rgbColor rgb="FF003300"/>
      <rgbColor rgb="FF333300"/>
      <rgbColor rgb="FFC65911"/>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s-ES" sz="1800" b="1" strike="noStrike" spc="-1">
                <a:solidFill>
                  <a:srgbClr val="000000"/>
                </a:solidFill>
                <a:latin typeface="Calibri"/>
              </a:rPr>
              <a:t>% de Avance por Actividad - CAUCA</a:t>
            </a:r>
          </a:p>
        </c:rich>
      </c:tx>
      <c:overlay val="0"/>
      <c:spPr>
        <a:noFill/>
        <a:ln w="0">
          <a:noFill/>
        </a:ln>
      </c:spPr>
    </c:title>
    <c:autoTitleDeleted val="0"/>
    <c:plotArea>
      <c:layout/>
      <c:barChart>
        <c:barDir val="bar"/>
        <c:grouping val="clustered"/>
        <c:varyColors val="0"/>
        <c:ser>
          <c:idx val="0"/>
          <c:order val="0"/>
          <c:tx>
            <c:strRef>
              <c:f>Consolidado!$E$3</c:f>
              <c:strCache>
                <c:ptCount val="1"/>
                <c:pt idx="0">
                  <c:v>CAUCA - % Av</c:v>
                </c:pt>
              </c:strCache>
            </c:strRef>
          </c:tx>
          <c:spPr>
            <a:solidFill>
              <a:srgbClr val="2E75B6"/>
            </a:solidFill>
            <a:ln w="0">
              <a:solidFill>
                <a:srgbClr val="2E75B6"/>
              </a:solidFill>
            </a:ln>
          </c:spPr>
          <c:invertIfNegative val="0"/>
          <c:dLbls>
            <c:spPr>
              <a:noFill/>
              <a:ln>
                <a:noFill/>
              </a:ln>
              <a:effectLst/>
            </c:spPr>
            <c:txPr>
              <a:bodyPr wrap="square" lIns="38100" tIns="19050" rIns="38100" bIns="19050" anchor="ctr">
                <a:spAutoFit/>
              </a:bodyPr>
              <a:lstStyle/>
              <a:p>
                <a:pPr>
                  <a:defRPr b="1"/>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Consolidado!$B$4:$B$18</c:f>
              <c:strCache>
                <c:ptCount val="15"/>
                <c:pt idx="0">
                  <c:v>Sensibilizaciones Gen</c:v>
                </c:pt>
                <c:pt idx="1">
                  <c:v>Sensibilizaciones VBG</c:v>
                </c:pt>
                <c:pt idx="2">
                  <c:v>Gestión de Casos</c:v>
                </c:pt>
                <c:pt idx="3">
                  <c:v>Cash VBG</c:v>
                </c:pt>
                <c:pt idx="4">
                  <c:v>Kits - CARE Package- (meta hogar)</c:v>
                </c:pt>
                <c:pt idx="5">
                  <c:v>Kits - CARE Package- (meta personas)</c:v>
                </c:pt>
                <c:pt idx="6">
                  <c:v>Espacios seguros</c:v>
                </c:pt>
                <c:pt idx="7">
                  <c:v>Espacios seguros-  participantes</c:v>
                </c:pt>
                <c:pt idx="8">
                  <c:v>Sensibilizaciones salud</c:v>
                </c:pt>
                <c:pt idx="9">
                  <c:v>Salud - servicios</c:v>
                </c:pt>
                <c:pt idx="10">
                  <c:v>Salud - personas</c:v>
                </c:pt>
                <c:pt idx="11">
                  <c:v>Kits post - parto</c:v>
                </c:pt>
                <c:pt idx="12">
                  <c:v>Atención VBG</c:v>
                </c:pt>
                <c:pt idx="13">
                  <c:v>MPCA hogar</c:v>
                </c:pt>
                <c:pt idx="14">
                  <c:v>MPCA personas</c:v>
                </c:pt>
              </c:strCache>
            </c:strRef>
          </c:cat>
          <c:val>
            <c:numRef>
              <c:f>Consolidado!$E$4:$E$18</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CBB6-4873-B2E3-69C2273A2BD1}"/>
            </c:ext>
          </c:extLst>
        </c:ser>
        <c:dLbls>
          <c:dLblPos val="outEnd"/>
          <c:showLegendKey val="0"/>
          <c:showVal val="1"/>
          <c:showCatName val="0"/>
          <c:showSerName val="0"/>
          <c:showPercent val="0"/>
          <c:showBubbleSize val="0"/>
        </c:dLbls>
        <c:gapWidth val="150"/>
        <c:axId val="42072449"/>
        <c:axId val="20327727"/>
      </c:barChart>
      <c:catAx>
        <c:axId val="42072449"/>
        <c:scaling>
          <c:orientation val="maxMin"/>
        </c:scaling>
        <c:delete val="0"/>
        <c:axPos val="l"/>
        <c:numFmt formatCode="0%" sourceLinked="0"/>
        <c:majorTickMark val="none"/>
        <c:minorTickMark val="none"/>
        <c:tickLblPos val="nextTo"/>
        <c:spPr>
          <a:ln w="0">
            <a:solidFill>
              <a:srgbClr val="B3B3B3"/>
            </a:solidFill>
          </a:ln>
        </c:spPr>
        <c:txPr>
          <a:bodyPr/>
          <a:lstStyle/>
          <a:p>
            <a:pPr>
              <a:defRPr sz="1000" b="1" strike="noStrike" spc="-1">
                <a:solidFill>
                  <a:srgbClr val="000000"/>
                </a:solidFill>
                <a:latin typeface="Calibri"/>
              </a:defRPr>
            </a:pPr>
            <a:endParaRPr lang="es-ES"/>
          </a:p>
        </c:txPr>
        <c:crossAx val="20327727"/>
        <c:crosses val="autoZero"/>
        <c:auto val="1"/>
        <c:lblAlgn val="ctr"/>
        <c:lblOffset val="100"/>
        <c:noMultiLvlLbl val="0"/>
      </c:catAx>
      <c:valAx>
        <c:axId val="20327727"/>
        <c:scaling>
          <c:orientation val="minMax"/>
        </c:scaling>
        <c:delete val="0"/>
        <c:axPos val="t"/>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sz="1000" b="1" strike="noStrike" spc="-1">
                <a:solidFill>
                  <a:schemeClr val="accent2"/>
                </a:solidFill>
                <a:latin typeface="Calibri"/>
              </a:defRPr>
            </a:pPr>
            <a:endParaRPr lang="es-ES"/>
          </a:p>
        </c:txPr>
        <c:crossAx val="42072449"/>
        <c:crosses val="autoZero"/>
        <c:crossBetween val="between"/>
      </c:valAx>
      <c:spPr>
        <a:noFill/>
        <a:ln w="0">
          <a:noFill/>
        </a:ln>
      </c:spPr>
    </c:plotArea>
    <c:legend>
      <c:legendPos val="r"/>
      <c:overlay val="0"/>
      <c:txPr>
        <a:bodyPr/>
        <a:lstStyle/>
        <a:p>
          <a:pPr>
            <a:defRPr b="1"/>
          </a:pPr>
          <a:endParaRPr lang="es-ES"/>
        </a:p>
      </c:txPr>
    </c:legend>
    <c:plotVisOnly val="1"/>
    <c:dispBlanksAs val="gap"/>
    <c:showDLblsOverMax val="1"/>
  </c:chart>
  <c:spPr>
    <a:pattFill prst="pct5">
      <a:fgClr>
        <a:srgbClr val="FFFFFF"/>
      </a:fgClr>
      <a:bgClr>
        <a:schemeClr val="bg1"/>
      </a:bgClr>
    </a:pattFill>
    <a:ln w="12700">
      <a:solidFill>
        <a:schemeClr val="tx1"/>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a:pPr>
            <a:r>
              <a:rPr lang="es-ES"/>
              <a:t>% de Avance por Actividad - NORTE DE SANTANDER</a:t>
            </a:r>
          </a:p>
        </c:rich>
      </c:tx>
      <c:overlay val="0"/>
      <c:spPr>
        <a:noFill/>
        <a:ln w="0">
          <a:noFill/>
        </a:ln>
      </c:spPr>
    </c:title>
    <c:autoTitleDeleted val="0"/>
    <c:plotArea>
      <c:layout/>
      <c:barChart>
        <c:barDir val="bar"/>
        <c:grouping val="clustered"/>
        <c:varyColors val="0"/>
        <c:ser>
          <c:idx val="0"/>
          <c:order val="0"/>
          <c:tx>
            <c:strRef>
              <c:f>Consolidado!$H$3</c:f>
              <c:strCache>
                <c:ptCount val="1"/>
                <c:pt idx="0">
                  <c:v>NORTE DE SANTANDER - % Av</c:v>
                </c:pt>
              </c:strCache>
            </c:strRef>
          </c:tx>
          <c:spPr>
            <a:solidFill>
              <a:srgbClr val="C65911"/>
            </a:solidFill>
            <a:ln w="0">
              <a:solidFill>
                <a:srgbClr val="C65911"/>
              </a:solid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Consolidado!$B$4:$B$18</c:f>
              <c:strCache>
                <c:ptCount val="15"/>
                <c:pt idx="0">
                  <c:v>Sensibilizaciones Gen</c:v>
                </c:pt>
                <c:pt idx="1">
                  <c:v>Sensibilizaciones VBG</c:v>
                </c:pt>
                <c:pt idx="2">
                  <c:v>Gestión de Casos</c:v>
                </c:pt>
                <c:pt idx="3">
                  <c:v>Cash VBG</c:v>
                </c:pt>
                <c:pt idx="4">
                  <c:v>Kits - CARE Package- (meta hogar)</c:v>
                </c:pt>
                <c:pt idx="5">
                  <c:v>Kits - CARE Package- (meta personas)</c:v>
                </c:pt>
                <c:pt idx="6">
                  <c:v>Espacios seguros</c:v>
                </c:pt>
                <c:pt idx="7">
                  <c:v>Espacios seguros-  participantes</c:v>
                </c:pt>
                <c:pt idx="8">
                  <c:v>Sensibilizaciones salud</c:v>
                </c:pt>
                <c:pt idx="9">
                  <c:v>Salud - servicios</c:v>
                </c:pt>
                <c:pt idx="10">
                  <c:v>Salud - personas</c:v>
                </c:pt>
                <c:pt idx="11">
                  <c:v>Kits post - parto</c:v>
                </c:pt>
                <c:pt idx="12">
                  <c:v>Atención VBG</c:v>
                </c:pt>
                <c:pt idx="13">
                  <c:v>MPCA hogar</c:v>
                </c:pt>
                <c:pt idx="14">
                  <c:v>MPCA personas</c:v>
                </c:pt>
              </c:strCache>
            </c:strRef>
          </c:cat>
          <c:val>
            <c:numRef>
              <c:f>Consolidado!$H$4:$H$18</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75DB-495E-9229-A0F92FC516EC}"/>
            </c:ext>
          </c:extLst>
        </c:ser>
        <c:dLbls>
          <c:dLblPos val="outEnd"/>
          <c:showLegendKey val="0"/>
          <c:showVal val="1"/>
          <c:showCatName val="0"/>
          <c:showSerName val="0"/>
          <c:showPercent val="0"/>
          <c:showBubbleSize val="0"/>
        </c:dLbls>
        <c:gapWidth val="150"/>
        <c:axId val="34869123"/>
        <c:axId val="66197394"/>
      </c:barChart>
      <c:catAx>
        <c:axId val="34869123"/>
        <c:scaling>
          <c:orientation val="maxMin"/>
        </c:scaling>
        <c:delete val="0"/>
        <c:axPos val="l"/>
        <c:numFmt formatCode="0%" sourceLinked="0"/>
        <c:majorTickMark val="none"/>
        <c:minorTickMark val="none"/>
        <c:tickLblPos val="nextTo"/>
        <c:spPr>
          <a:ln w="0">
            <a:solidFill>
              <a:srgbClr val="B3B3B3"/>
            </a:solidFill>
          </a:ln>
        </c:spPr>
        <c:crossAx val="66197394"/>
        <c:crosses val="autoZero"/>
        <c:auto val="1"/>
        <c:lblAlgn val="ctr"/>
        <c:lblOffset val="100"/>
        <c:noMultiLvlLbl val="0"/>
      </c:catAx>
      <c:valAx>
        <c:axId val="66197394"/>
        <c:scaling>
          <c:orientation val="minMax"/>
        </c:scaling>
        <c:delete val="0"/>
        <c:axPos val="t"/>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a:solidFill>
                  <a:schemeClr val="accent2"/>
                </a:solidFill>
              </a:defRPr>
            </a:pPr>
            <a:endParaRPr lang="es-ES"/>
          </a:p>
        </c:txPr>
        <c:crossAx val="34869123"/>
        <c:crosses val="autoZero"/>
        <c:crossBetween val="between"/>
      </c:valAx>
      <c:spPr>
        <a:noFill/>
        <a:ln w="0">
          <a:noFill/>
        </a:ln>
      </c:spPr>
    </c:plotArea>
    <c:legend>
      <c:legendPos val="r"/>
      <c:overlay val="0"/>
      <c:txPr>
        <a:bodyPr/>
        <a:lstStyle/>
        <a:p>
          <a:pPr>
            <a:defRPr b="1"/>
          </a:pPr>
          <a:endParaRPr lang="es-ES"/>
        </a:p>
      </c:txPr>
    </c:legend>
    <c:plotVisOnly val="1"/>
    <c:dispBlanksAs val="gap"/>
    <c:showDLblsOverMax val="1"/>
  </c:chart>
  <c:spPr>
    <a:solidFill>
      <a:srgbClr val="FFFFFF"/>
    </a:solidFill>
    <a:ln w="9360">
      <a:solidFill>
        <a:schemeClr val="tx1"/>
      </a:solidFill>
      <a:round/>
    </a:ln>
  </c:spPr>
  <c:txPr>
    <a:bodyPr/>
    <a:lstStyle/>
    <a:p>
      <a:pPr>
        <a:defRPr b="1"/>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s-ES" sz="1800" b="1" strike="noStrike" spc="-1">
                <a:solidFill>
                  <a:srgbClr val="000000"/>
                </a:solidFill>
                <a:latin typeface="Calibri"/>
              </a:rPr>
              <a:t>% de Avance por Actividad - GLOBAL</a:t>
            </a:r>
          </a:p>
        </c:rich>
      </c:tx>
      <c:overlay val="0"/>
      <c:spPr>
        <a:noFill/>
        <a:ln w="0">
          <a:noFill/>
        </a:ln>
      </c:spPr>
    </c:title>
    <c:autoTitleDeleted val="0"/>
    <c:plotArea>
      <c:layout/>
      <c:barChart>
        <c:barDir val="bar"/>
        <c:grouping val="clustered"/>
        <c:varyColors val="0"/>
        <c:ser>
          <c:idx val="0"/>
          <c:order val="0"/>
          <c:tx>
            <c:strRef>
              <c:f>Consolidado!$K$3</c:f>
              <c:strCache>
                <c:ptCount val="1"/>
                <c:pt idx="0">
                  <c:v>GLOBAL - % Av</c:v>
                </c:pt>
              </c:strCache>
            </c:strRef>
          </c:tx>
          <c:spPr>
            <a:solidFill>
              <a:srgbClr val="548235"/>
            </a:solidFill>
            <a:ln w="0">
              <a:solidFill>
                <a:srgbClr val="548235"/>
              </a:solidFill>
            </a:ln>
          </c:spPr>
          <c:invertIfNegative val="0"/>
          <c:dLbls>
            <c:spPr>
              <a:noFill/>
              <a:ln>
                <a:noFill/>
              </a:ln>
              <a:effectLst/>
            </c:spPr>
            <c:txPr>
              <a:bodyPr wrap="square" lIns="38100" tIns="19050" rIns="38100" bIns="19050" anchor="ctr">
                <a:spAutoFit/>
              </a:bodyPr>
              <a:lstStyle/>
              <a:p>
                <a:pPr>
                  <a:defRPr b="1"/>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Consolidado!$B$4:$B$18</c:f>
              <c:strCache>
                <c:ptCount val="15"/>
                <c:pt idx="0">
                  <c:v>Sensibilizaciones Gen</c:v>
                </c:pt>
                <c:pt idx="1">
                  <c:v>Sensibilizaciones VBG</c:v>
                </c:pt>
                <c:pt idx="2">
                  <c:v>Gestión de Casos</c:v>
                </c:pt>
                <c:pt idx="3">
                  <c:v>Cash VBG</c:v>
                </c:pt>
                <c:pt idx="4">
                  <c:v>Kits - CARE Package- (meta hogar)</c:v>
                </c:pt>
                <c:pt idx="5">
                  <c:v>Kits - CARE Package- (meta personas)</c:v>
                </c:pt>
                <c:pt idx="6">
                  <c:v>Espacios seguros</c:v>
                </c:pt>
                <c:pt idx="7">
                  <c:v>Espacios seguros-  participantes</c:v>
                </c:pt>
                <c:pt idx="8">
                  <c:v>Sensibilizaciones salud</c:v>
                </c:pt>
                <c:pt idx="9">
                  <c:v>Salud - servicios</c:v>
                </c:pt>
                <c:pt idx="10">
                  <c:v>Salud - personas</c:v>
                </c:pt>
                <c:pt idx="11">
                  <c:v>Kits post - parto</c:v>
                </c:pt>
                <c:pt idx="12">
                  <c:v>Atención VBG</c:v>
                </c:pt>
                <c:pt idx="13">
                  <c:v>MPCA hogar</c:v>
                </c:pt>
                <c:pt idx="14">
                  <c:v>MPCA personas</c:v>
                </c:pt>
              </c:strCache>
            </c:strRef>
          </c:cat>
          <c:val>
            <c:numRef>
              <c:f>Consolidado!$K$4:$K$18</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7D6B-441A-999C-86CE3EABC0BF}"/>
            </c:ext>
          </c:extLst>
        </c:ser>
        <c:dLbls>
          <c:dLblPos val="outEnd"/>
          <c:showLegendKey val="0"/>
          <c:showVal val="1"/>
          <c:showCatName val="0"/>
          <c:showSerName val="0"/>
          <c:showPercent val="0"/>
          <c:showBubbleSize val="0"/>
        </c:dLbls>
        <c:gapWidth val="150"/>
        <c:axId val="36329747"/>
        <c:axId val="28451673"/>
      </c:barChart>
      <c:catAx>
        <c:axId val="36329747"/>
        <c:scaling>
          <c:orientation val="maxMin"/>
        </c:scaling>
        <c:delete val="0"/>
        <c:axPos val="l"/>
        <c:numFmt formatCode="0%" sourceLinked="0"/>
        <c:majorTickMark val="none"/>
        <c:minorTickMark val="none"/>
        <c:tickLblPos val="nextTo"/>
        <c:spPr>
          <a:ln w="0">
            <a:solidFill>
              <a:srgbClr val="B3B3B3"/>
            </a:solidFill>
          </a:ln>
        </c:spPr>
        <c:txPr>
          <a:bodyPr/>
          <a:lstStyle/>
          <a:p>
            <a:pPr>
              <a:defRPr sz="1000" b="1" strike="noStrike" spc="-1">
                <a:solidFill>
                  <a:srgbClr val="000000"/>
                </a:solidFill>
                <a:latin typeface="Calibri"/>
              </a:defRPr>
            </a:pPr>
            <a:endParaRPr lang="es-ES"/>
          </a:p>
        </c:txPr>
        <c:crossAx val="28451673"/>
        <c:crosses val="autoZero"/>
        <c:auto val="1"/>
        <c:lblAlgn val="ctr"/>
        <c:lblOffset val="100"/>
        <c:noMultiLvlLbl val="0"/>
      </c:catAx>
      <c:valAx>
        <c:axId val="28451673"/>
        <c:scaling>
          <c:orientation val="minMax"/>
        </c:scaling>
        <c:delete val="0"/>
        <c:axPos val="t"/>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sz="1000" b="1" strike="noStrike" spc="-1">
                <a:solidFill>
                  <a:schemeClr val="accent2"/>
                </a:solidFill>
                <a:latin typeface="Calibri"/>
              </a:defRPr>
            </a:pPr>
            <a:endParaRPr lang="es-ES"/>
          </a:p>
        </c:txPr>
        <c:crossAx val="36329747"/>
        <c:crosses val="autoZero"/>
        <c:crossBetween val="between"/>
      </c:valAx>
      <c:spPr>
        <a:noFill/>
        <a:ln w="0">
          <a:noFill/>
        </a:ln>
      </c:spPr>
    </c:plotArea>
    <c:legend>
      <c:legendPos val="r"/>
      <c:overlay val="0"/>
      <c:txPr>
        <a:bodyPr/>
        <a:lstStyle/>
        <a:p>
          <a:pPr>
            <a:defRPr b="1"/>
          </a:pPr>
          <a:endParaRPr lang="es-ES"/>
        </a:p>
      </c:txPr>
    </c:legend>
    <c:plotVisOnly val="1"/>
    <c:dispBlanksAs val="gap"/>
    <c:showDLblsOverMax val="1"/>
  </c:chart>
  <c:spPr>
    <a:solidFill>
      <a:srgbClr val="FFFFFF"/>
    </a:solidFill>
    <a:ln w="9360">
      <a:solidFill>
        <a:schemeClr val="tx1"/>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114480</xdr:colOff>
      <xdr:row>1</xdr:row>
      <xdr:rowOff>19080</xdr:rowOff>
    </xdr:from>
    <xdr:to>
      <xdr:col>1</xdr:col>
      <xdr:colOff>618480</xdr:colOff>
      <xdr:row>3</xdr:row>
      <xdr:rowOff>151560</xdr:rowOff>
    </xdr:to>
    <xdr:pic>
      <xdr:nvPicPr>
        <xdr:cNvPr id="2" name="Marcador de contenido 4" descr="Logotipo&#10;&#10;Descripción generada automáticament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446760" y="85680"/>
          <a:ext cx="504000" cy="513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2</xdr:row>
      <xdr:rowOff>0</xdr:rowOff>
    </xdr:from>
    <xdr:to>
      <xdr:col>12</xdr:col>
      <xdr:colOff>790575</xdr:colOff>
      <xdr:row>27</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27</xdr:row>
      <xdr:rowOff>180975</xdr:rowOff>
    </xdr:from>
    <xdr:to>
      <xdr:col>13</xdr:col>
      <xdr:colOff>28575</xdr:colOff>
      <xdr:row>50</xdr:row>
      <xdr:rowOff>171450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xdr:colOff>
      <xdr:row>51</xdr:row>
      <xdr:rowOff>180975</xdr:rowOff>
    </xdr:from>
    <xdr:to>
      <xdr:col>13</xdr:col>
      <xdr:colOff>1</xdr:colOff>
      <xdr:row>75</xdr:row>
      <xdr:rowOff>57151</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27"/>
  <sheetViews>
    <sheetView topLeftCell="A16" zoomScaleNormal="100" workbookViewId="0">
      <selection activeCell="E22" sqref="E22"/>
    </sheetView>
  </sheetViews>
  <sheetFormatPr defaultColWidth="11.42578125" defaultRowHeight="15"/>
  <cols>
    <col min="1" max="1" width="4.7109375" customWidth="1"/>
    <col min="2" max="2" width="59" customWidth="1"/>
    <col min="3" max="3" width="62.42578125" customWidth="1"/>
    <col min="4" max="4" width="12.85546875" customWidth="1"/>
    <col min="5" max="5" width="10.140625" customWidth="1"/>
    <col min="6" max="7" width="15.140625" customWidth="1"/>
    <col min="8" max="8" width="48" customWidth="1"/>
  </cols>
  <sheetData>
    <row r="1" spans="1:8" ht="5.25" customHeight="1"/>
    <row r="2" spans="1:8">
      <c r="A2" s="164"/>
      <c r="B2" s="165" t="s">
        <v>0</v>
      </c>
      <c r="C2" s="165"/>
      <c r="D2" s="165"/>
      <c r="E2" s="165"/>
      <c r="F2" s="165"/>
      <c r="G2" s="165"/>
      <c r="H2" s="165"/>
    </row>
    <row r="3" spans="1:8">
      <c r="A3" s="164"/>
      <c r="B3" s="165"/>
      <c r="C3" s="165"/>
      <c r="D3" s="165"/>
      <c r="E3" s="165"/>
      <c r="F3" s="165"/>
      <c r="G3" s="165"/>
      <c r="H3" s="165"/>
    </row>
    <row r="4" spans="1:8">
      <c r="A4" s="164"/>
      <c r="B4" s="165"/>
      <c r="C4" s="165"/>
      <c r="D4" s="165"/>
      <c r="E4" s="165"/>
      <c r="F4" s="165"/>
      <c r="G4" s="165"/>
      <c r="H4" s="165"/>
    </row>
    <row r="5" spans="1:8">
      <c r="B5" s="3" t="s">
        <v>1</v>
      </c>
      <c r="C5" s="166" t="s">
        <v>2</v>
      </c>
      <c r="D5" s="166"/>
      <c r="E5" s="166"/>
      <c r="F5" s="166"/>
      <c r="G5" s="166"/>
      <c r="H5" s="166"/>
    </row>
    <row r="6" spans="1:8">
      <c r="B6" s="4" t="s">
        <v>3</v>
      </c>
      <c r="C6" s="5">
        <v>46157</v>
      </c>
      <c r="D6" s="167" t="s">
        <v>4</v>
      </c>
      <c r="E6" s="168"/>
      <c r="F6" s="168"/>
      <c r="G6" s="169"/>
      <c r="H6" s="6">
        <v>46341</v>
      </c>
    </row>
    <row r="7" spans="1:8">
      <c r="B7" s="7" t="s">
        <v>5</v>
      </c>
      <c r="C7" s="8" t="s">
        <v>6</v>
      </c>
      <c r="D7" s="167" t="s">
        <v>7</v>
      </c>
      <c r="E7" s="168"/>
      <c r="F7" s="168"/>
      <c r="G7" s="168"/>
      <c r="H7" s="9" t="s">
        <v>8</v>
      </c>
    </row>
    <row r="8" spans="1:8">
      <c r="B8" s="7" t="s">
        <v>9</v>
      </c>
      <c r="C8" s="172" t="s">
        <v>10</v>
      </c>
      <c r="D8" s="172"/>
      <c r="E8" s="172"/>
      <c r="F8" s="172"/>
      <c r="G8" s="172"/>
      <c r="H8" s="172"/>
    </row>
    <row r="9" spans="1:8" ht="15" customHeight="1">
      <c r="B9" s="10" t="s">
        <v>11</v>
      </c>
      <c r="C9" s="172" t="s">
        <v>12</v>
      </c>
      <c r="D9" s="172"/>
      <c r="E9" s="172"/>
      <c r="F9" s="172"/>
      <c r="G9" s="172"/>
      <c r="H9" s="172"/>
    </row>
    <row r="10" spans="1:8" ht="15.75" customHeight="1">
      <c r="B10" s="11" t="s">
        <v>13</v>
      </c>
      <c r="C10" s="173" t="s">
        <v>14</v>
      </c>
      <c r="D10" s="173"/>
      <c r="E10" s="173"/>
      <c r="F10" s="173"/>
      <c r="G10" s="173"/>
      <c r="H10" s="173"/>
    </row>
    <row r="11" spans="1:8" ht="6" customHeight="1"/>
    <row r="12" spans="1:8" ht="12.75" customHeight="1">
      <c r="B12" s="12" t="s">
        <v>15</v>
      </c>
      <c r="C12" s="2" t="s">
        <v>16</v>
      </c>
      <c r="D12" s="174" t="s">
        <v>17</v>
      </c>
      <c r="E12" s="174"/>
      <c r="F12" s="2" t="s">
        <v>5</v>
      </c>
      <c r="G12" s="36" t="s">
        <v>18</v>
      </c>
      <c r="H12" s="13" t="s">
        <v>19</v>
      </c>
    </row>
    <row r="13" spans="1:8" ht="56.25" customHeight="1">
      <c r="B13" s="14" t="s">
        <v>20</v>
      </c>
      <c r="C13" s="15" t="s">
        <v>21</v>
      </c>
      <c r="D13" s="175">
        <v>0.8</v>
      </c>
      <c r="E13" s="175"/>
      <c r="F13" s="16" t="s">
        <v>6</v>
      </c>
      <c r="G13" s="123"/>
      <c r="H13" s="17" t="s">
        <v>22</v>
      </c>
    </row>
    <row r="14" spans="1:8" ht="30.75" customHeight="1">
      <c r="B14" s="18" t="s">
        <v>23</v>
      </c>
      <c r="C14" s="19" t="s">
        <v>16</v>
      </c>
      <c r="D14" s="20" t="s">
        <v>24</v>
      </c>
      <c r="E14" s="20" t="s">
        <v>25</v>
      </c>
      <c r="F14" s="20" t="s">
        <v>5</v>
      </c>
      <c r="G14" s="124" t="s">
        <v>18</v>
      </c>
      <c r="H14" s="21" t="s">
        <v>19</v>
      </c>
    </row>
    <row r="15" spans="1:8" ht="15" customHeight="1">
      <c r="B15" s="170" t="s">
        <v>26</v>
      </c>
      <c r="C15" s="170"/>
      <c r="D15" s="170"/>
      <c r="E15" s="170"/>
      <c r="F15" s="170"/>
      <c r="G15" s="170"/>
      <c r="H15" s="170"/>
    </row>
    <row r="16" spans="1:8" ht="209.25" customHeight="1">
      <c r="B16" s="22" t="s">
        <v>27</v>
      </c>
      <c r="C16" s="25" t="s">
        <v>28</v>
      </c>
      <c r="D16" s="23">
        <v>8000</v>
      </c>
      <c r="E16" s="23">
        <v>8000</v>
      </c>
      <c r="F16" s="23" t="s">
        <v>6</v>
      </c>
      <c r="G16" s="48"/>
      <c r="H16" s="17" t="s">
        <v>29</v>
      </c>
    </row>
    <row r="17" spans="2:8" ht="213" customHeight="1">
      <c r="B17" s="24" t="s">
        <v>30</v>
      </c>
      <c r="C17" s="25" t="s">
        <v>31</v>
      </c>
      <c r="D17" s="26">
        <v>1152</v>
      </c>
      <c r="E17" s="26">
        <v>0</v>
      </c>
      <c r="F17" s="23" t="s">
        <v>6</v>
      </c>
      <c r="G17" s="48"/>
      <c r="H17" s="17" t="s">
        <v>32</v>
      </c>
    </row>
    <row r="18" spans="2:8" ht="107.25" customHeight="1">
      <c r="B18" s="27" t="s">
        <v>33</v>
      </c>
      <c r="C18" s="25" t="s">
        <v>34</v>
      </c>
      <c r="D18" s="28">
        <v>403</v>
      </c>
      <c r="E18" s="28">
        <v>0</v>
      </c>
      <c r="F18" s="23" t="s">
        <v>6</v>
      </c>
      <c r="G18" s="48"/>
      <c r="H18" s="17" t="s">
        <v>35</v>
      </c>
    </row>
    <row r="19" spans="2:8" ht="152.25" customHeight="1">
      <c r="B19" s="27" t="s">
        <v>36</v>
      </c>
      <c r="C19" s="25" t="s">
        <v>28</v>
      </c>
      <c r="D19" s="28">
        <v>9600</v>
      </c>
      <c r="E19" s="28">
        <v>7200</v>
      </c>
      <c r="F19" s="23" t="s">
        <v>37</v>
      </c>
      <c r="G19" s="123" t="s">
        <v>38</v>
      </c>
      <c r="H19" s="29" t="s">
        <v>39</v>
      </c>
    </row>
    <row r="20" spans="2:8" ht="213" customHeight="1">
      <c r="B20" s="30" t="s">
        <v>40</v>
      </c>
      <c r="C20" s="25" t="s">
        <v>31</v>
      </c>
      <c r="D20" s="28">
        <v>5400</v>
      </c>
      <c r="E20" s="28">
        <v>5400</v>
      </c>
      <c r="F20" s="23" t="s">
        <v>37</v>
      </c>
      <c r="G20" s="48"/>
      <c r="H20" s="17" t="s">
        <v>41</v>
      </c>
    </row>
    <row r="21" spans="2:8" ht="15" customHeight="1">
      <c r="B21" s="170" t="s">
        <v>42</v>
      </c>
      <c r="C21" s="170"/>
      <c r="D21" s="170"/>
      <c r="E21" s="170"/>
      <c r="F21" s="170"/>
      <c r="G21" s="170"/>
      <c r="H21" s="170"/>
    </row>
    <row r="22" spans="2:8" ht="60.75" customHeight="1">
      <c r="B22" s="22" t="s">
        <v>43</v>
      </c>
      <c r="C22" s="31" t="s">
        <v>44</v>
      </c>
      <c r="D22" s="23">
        <v>1345</v>
      </c>
      <c r="E22" s="23">
        <v>1211</v>
      </c>
      <c r="F22" s="23" t="s">
        <v>37</v>
      </c>
      <c r="G22" s="123" t="s">
        <v>45</v>
      </c>
      <c r="H22" s="29" t="s">
        <v>46</v>
      </c>
    </row>
    <row r="23" spans="2:8" ht="60.75" customHeight="1">
      <c r="B23" s="30" t="s">
        <v>47</v>
      </c>
      <c r="C23" s="31" t="s">
        <v>44</v>
      </c>
      <c r="D23" s="28">
        <v>140</v>
      </c>
      <c r="E23" s="28">
        <v>0</v>
      </c>
      <c r="F23" s="23" t="s">
        <v>37</v>
      </c>
      <c r="G23" s="48"/>
      <c r="H23" s="29" t="s">
        <v>39</v>
      </c>
    </row>
    <row r="24" spans="2:8" ht="147.75" customHeight="1">
      <c r="B24" s="30" t="s">
        <v>48</v>
      </c>
      <c r="C24" s="25" t="s">
        <v>49</v>
      </c>
      <c r="D24" s="28">
        <v>576</v>
      </c>
      <c r="E24" s="28">
        <v>0</v>
      </c>
      <c r="F24" s="23" t="s">
        <v>37</v>
      </c>
      <c r="G24" s="48"/>
      <c r="H24" s="17" t="s">
        <v>50</v>
      </c>
    </row>
    <row r="25" spans="2:8" ht="15" customHeight="1">
      <c r="B25" s="170" t="s">
        <v>51</v>
      </c>
      <c r="C25" s="170"/>
      <c r="D25" s="170"/>
      <c r="E25" s="170"/>
      <c r="F25" s="170"/>
      <c r="G25" s="170"/>
      <c r="H25" s="170"/>
    </row>
    <row r="26" spans="2:8" ht="93.75" customHeight="1">
      <c r="B26" s="148" t="s">
        <v>52</v>
      </c>
      <c r="C26" s="32" t="s">
        <v>53</v>
      </c>
      <c r="D26" s="33">
        <v>2016</v>
      </c>
      <c r="E26" s="33">
        <v>1440</v>
      </c>
      <c r="F26" s="33" t="s">
        <v>37</v>
      </c>
      <c r="G26" s="125" t="s">
        <v>54</v>
      </c>
      <c r="H26" s="34" t="s">
        <v>55</v>
      </c>
    </row>
    <row r="27" spans="2:8" ht="15" customHeight="1">
      <c r="B27" s="171" t="s">
        <v>9</v>
      </c>
      <c r="C27" s="171"/>
      <c r="D27" s="35">
        <f>D16+D17+D18+D19+D20+D22+D23+D24+D26</f>
        <v>28632</v>
      </c>
      <c r="E27" s="35">
        <f>E16+E17+E18+E19+E20+E22+E23+E24+E26</f>
        <v>23251</v>
      </c>
      <c r="F27" s="35"/>
      <c r="G27" s="35"/>
      <c r="H27" s="35"/>
    </row>
  </sheetData>
  <mergeCells count="14">
    <mergeCell ref="B15:H15"/>
    <mergeCell ref="B21:H21"/>
    <mergeCell ref="B25:H25"/>
    <mergeCell ref="B27:C27"/>
    <mergeCell ref="C8:H8"/>
    <mergeCell ref="C9:H9"/>
    <mergeCell ref="C10:H10"/>
    <mergeCell ref="D12:E12"/>
    <mergeCell ref="D13:E13"/>
    <mergeCell ref="A2:A4"/>
    <mergeCell ref="B2:H4"/>
    <mergeCell ref="C5:H5"/>
    <mergeCell ref="D6:G6"/>
    <mergeCell ref="D7:G7"/>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05496"/>
  </sheetPr>
  <dimension ref="A1:BQ35"/>
  <sheetViews>
    <sheetView zoomScaleNormal="100" workbookViewId="0">
      <pane xSplit="3" ySplit="1" topLeftCell="D2" activePane="bottomRight" state="frozen"/>
      <selection pane="bottomRight" activeCell="D1" sqref="D1"/>
      <selection pane="bottomLeft" activeCell="A2" sqref="A2"/>
      <selection pane="topRight" activeCell="D1" sqref="D1"/>
    </sheetView>
  </sheetViews>
  <sheetFormatPr defaultColWidth="8.7109375" defaultRowHeight="15"/>
  <cols>
    <col min="1" max="1" width="12.7109375" customWidth="1"/>
    <col min="2" max="2" width="50.28515625" customWidth="1"/>
    <col min="3" max="3" width="11.42578125" customWidth="1"/>
    <col min="4" max="4" width="13.42578125" customWidth="1"/>
    <col min="5" max="5" width="11.7109375" customWidth="1"/>
    <col min="6" max="12" width="7" customWidth="1"/>
    <col min="14" max="20" width="7.7109375" customWidth="1"/>
    <col min="21" max="21" width="18.5703125" customWidth="1"/>
    <col min="23" max="29" width="7.28515625" customWidth="1"/>
    <col min="31" max="37" width="7.28515625" customWidth="1"/>
    <col min="38" max="38" width="10.5703125" customWidth="1"/>
    <col min="39" max="45" width="7.85546875" customWidth="1"/>
    <col min="47" max="53" width="7.5703125" customWidth="1"/>
    <col min="55" max="61" width="7.140625" customWidth="1"/>
    <col min="62" max="62" width="15.85546875" customWidth="1"/>
    <col min="63" max="69" width="7" customWidth="1"/>
  </cols>
  <sheetData>
    <row r="1" spans="1:69" s="42" customFormat="1">
      <c r="A1" s="12" t="s">
        <v>56</v>
      </c>
      <c r="B1" s="2" t="s">
        <v>57</v>
      </c>
      <c r="C1" s="36" t="s">
        <v>58</v>
      </c>
      <c r="D1" s="12" t="s">
        <v>59</v>
      </c>
      <c r="E1" s="37" t="s">
        <v>60</v>
      </c>
      <c r="F1" s="38" t="s">
        <v>61</v>
      </c>
      <c r="G1" s="38" t="s">
        <v>62</v>
      </c>
      <c r="H1" s="38" t="s">
        <v>63</v>
      </c>
      <c r="I1" s="38" t="s">
        <v>64</v>
      </c>
      <c r="J1" s="38" t="s">
        <v>65</v>
      </c>
      <c r="K1" s="38" t="s">
        <v>66</v>
      </c>
      <c r="L1" s="38" t="s">
        <v>67</v>
      </c>
      <c r="M1" s="39" t="s">
        <v>68</v>
      </c>
      <c r="N1" s="38" t="s">
        <v>61</v>
      </c>
      <c r="O1" s="38" t="s">
        <v>62</v>
      </c>
      <c r="P1" s="38" t="s">
        <v>63</v>
      </c>
      <c r="Q1" s="38" t="s">
        <v>64</v>
      </c>
      <c r="R1" s="38" t="s">
        <v>65</v>
      </c>
      <c r="S1" s="38" t="s">
        <v>66</v>
      </c>
      <c r="T1" s="40" t="s">
        <v>67</v>
      </c>
      <c r="U1" s="12" t="s">
        <v>69</v>
      </c>
      <c r="V1" s="39" t="s">
        <v>70</v>
      </c>
      <c r="W1" s="38" t="s">
        <v>61</v>
      </c>
      <c r="X1" s="38" t="s">
        <v>62</v>
      </c>
      <c r="Y1" s="38" t="s">
        <v>63</v>
      </c>
      <c r="Z1" s="38" t="s">
        <v>64</v>
      </c>
      <c r="AA1" s="38" t="s">
        <v>65</v>
      </c>
      <c r="AB1" s="38" t="s">
        <v>66</v>
      </c>
      <c r="AC1" s="38" t="s">
        <v>67</v>
      </c>
      <c r="AD1" s="39" t="s">
        <v>71</v>
      </c>
      <c r="AE1" s="38" t="s">
        <v>61</v>
      </c>
      <c r="AF1" s="38" t="s">
        <v>62</v>
      </c>
      <c r="AG1" s="38" t="s">
        <v>63</v>
      </c>
      <c r="AH1" s="38" t="s">
        <v>64</v>
      </c>
      <c r="AI1" s="38" t="s">
        <v>65</v>
      </c>
      <c r="AJ1" s="38" t="s">
        <v>66</v>
      </c>
      <c r="AK1" s="38" t="s">
        <v>67</v>
      </c>
      <c r="AL1" s="39" t="s">
        <v>72</v>
      </c>
      <c r="AM1" s="38" t="s">
        <v>61</v>
      </c>
      <c r="AN1" s="38" t="s">
        <v>62</v>
      </c>
      <c r="AO1" s="38" t="s">
        <v>63</v>
      </c>
      <c r="AP1" s="38" t="s">
        <v>64</v>
      </c>
      <c r="AQ1" s="38" t="s">
        <v>65</v>
      </c>
      <c r="AR1" s="38" t="s">
        <v>66</v>
      </c>
      <c r="AS1" s="38" t="s">
        <v>67</v>
      </c>
      <c r="AT1" s="39" t="s">
        <v>73</v>
      </c>
      <c r="AU1" s="38" t="s">
        <v>61</v>
      </c>
      <c r="AV1" s="38" t="s">
        <v>62</v>
      </c>
      <c r="AW1" s="38" t="s">
        <v>63</v>
      </c>
      <c r="AX1" s="38" t="s">
        <v>64</v>
      </c>
      <c r="AY1" s="38" t="s">
        <v>65</v>
      </c>
      <c r="AZ1" s="38" t="s">
        <v>66</v>
      </c>
      <c r="BA1" s="38" t="s">
        <v>67</v>
      </c>
      <c r="BB1" s="39" t="s">
        <v>74</v>
      </c>
      <c r="BC1" s="38" t="s">
        <v>61</v>
      </c>
      <c r="BD1" s="38" t="s">
        <v>62</v>
      </c>
      <c r="BE1" s="38" t="s">
        <v>63</v>
      </c>
      <c r="BF1" s="38" t="s">
        <v>64</v>
      </c>
      <c r="BG1" s="38" t="s">
        <v>65</v>
      </c>
      <c r="BH1" s="38" t="s">
        <v>66</v>
      </c>
      <c r="BI1" s="38" t="s">
        <v>67</v>
      </c>
      <c r="BJ1" s="39" t="s">
        <v>75</v>
      </c>
      <c r="BK1" s="38" t="s">
        <v>61</v>
      </c>
      <c r="BL1" s="38" t="s">
        <v>62</v>
      </c>
      <c r="BM1" s="38" t="s">
        <v>63</v>
      </c>
      <c r="BN1" s="38" t="s">
        <v>64</v>
      </c>
      <c r="BO1" s="38" t="s">
        <v>65</v>
      </c>
      <c r="BP1" s="38" t="s">
        <v>66</v>
      </c>
      <c r="BQ1" s="41" t="s">
        <v>67</v>
      </c>
    </row>
    <row r="2" spans="1:69">
      <c r="A2" s="43" t="s">
        <v>76</v>
      </c>
      <c r="B2" s="44" t="s">
        <v>77</v>
      </c>
      <c r="C2" s="45">
        <v>1600</v>
      </c>
      <c r="D2" s="46">
        <f>E2+M2</f>
        <v>480</v>
      </c>
      <c r="E2" s="47">
        <f>F2+G2+H2+I2+J2+K2+L2</f>
        <v>240</v>
      </c>
      <c r="F2" s="23">
        <v>0</v>
      </c>
      <c r="G2" s="23">
        <v>24</v>
      </c>
      <c r="H2" s="23">
        <v>54</v>
      </c>
      <c r="I2" s="23">
        <v>54</v>
      </c>
      <c r="J2" s="23">
        <v>54</v>
      </c>
      <c r="K2" s="23">
        <v>54</v>
      </c>
      <c r="L2" s="23">
        <v>0</v>
      </c>
      <c r="M2" s="47">
        <f>N2+O2+P2+Q2+R2+S2+T2</f>
        <v>240</v>
      </c>
      <c r="N2" s="23">
        <v>0</v>
      </c>
      <c r="O2" s="23">
        <v>24</v>
      </c>
      <c r="P2" s="23">
        <v>54</v>
      </c>
      <c r="Q2" s="23">
        <v>54</v>
      </c>
      <c r="R2" s="23">
        <v>54</v>
      </c>
      <c r="S2" s="23">
        <v>54</v>
      </c>
      <c r="T2" s="48">
        <v>0</v>
      </c>
      <c r="U2" s="46">
        <f>V2+AD2+AL2+AT2+BB2+BJ2</f>
        <v>1120</v>
      </c>
      <c r="V2" s="47">
        <f>W2+X2+Y2+Z2+AA2+AB2+AC2</f>
        <v>240</v>
      </c>
      <c r="W2" s="23">
        <v>0</v>
      </c>
      <c r="X2" s="23">
        <v>24</v>
      </c>
      <c r="Y2" s="23">
        <v>54</v>
      </c>
      <c r="Z2" s="23">
        <v>54</v>
      </c>
      <c r="AA2" s="23">
        <v>54</v>
      </c>
      <c r="AB2" s="23">
        <v>54</v>
      </c>
      <c r="AC2" s="23">
        <v>0</v>
      </c>
      <c r="AD2" s="47">
        <f>AE2+AF2+AG2+AH2+AI2+AJ2+AK2</f>
        <v>240</v>
      </c>
      <c r="AE2" s="23">
        <v>0</v>
      </c>
      <c r="AF2" s="23">
        <v>24</v>
      </c>
      <c r="AG2" s="23">
        <v>54</v>
      </c>
      <c r="AH2" s="23">
        <v>54</v>
      </c>
      <c r="AI2" s="23">
        <v>54</v>
      </c>
      <c r="AJ2" s="23">
        <v>54</v>
      </c>
      <c r="AK2" s="23">
        <v>0</v>
      </c>
      <c r="AL2" s="47">
        <f>AM2+AN2+AO2+AP2+AQ2+AR2+AS2</f>
        <v>160</v>
      </c>
      <c r="AM2" s="23">
        <v>0</v>
      </c>
      <c r="AN2" s="23">
        <v>16</v>
      </c>
      <c r="AO2" s="23">
        <v>36</v>
      </c>
      <c r="AP2" s="23">
        <v>36</v>
      </c>
      <c r="AQ2" s="23">
        <v>36</v>
      </c>
      <c r="AR2" s="23">
        <v>36</v>
      </c>
      <c r="AS2" s="23">
        <v>0</v>
      </c>
      <c r="AT2" s="47">
        <f>AU2+AV2+AW2+AX2+AY2+AZ2+BA2</f>
        <v>160</v>
      </c>
      <c r="AU2" s="23">
        <v>0</v>
      </c>
      <c r="AV2" s="23">
        <v>16</v>
      </c>
      <c r="AW2" s="23">
        <v>36</v>
      </c>
      <c r="AX2" s="23">
        <v>36</v>
      </c>
      <c r="AY2" s="23">
        <v>36</v>
      </c>
      <c r="AZ2" s="23">
        <v>36</v>
      </c>
      <c r="BA2" s="23">
        <v>0</v>
      </c>
      <c r="BB2" s="47">
        <f>BC2+BD2+BE2+BF2+BG2+BH2+BI2</f>
        <v>160</v>
      </c>
      <c r="BC2" s="23">
        <v>0</v>
      </c>
      <c r="BD2" s="23">
        <v>16</v>
      </c>
      <c r="BE2" s="23">
        <v>36</v>
      </c>
      <c r="BF2" s="23">
        <v>36</v>
      </c>
      <c r="BG2" s="23">
        <v>36</v>
      </c>
      <c r="BH2" s="23">
        <v>36</v>
      </c>
      <c r="BI2" s="23">
        <v>0</v>
      </c>
      <c r="BJ2" s="47">
        <f>BK2+BL2+BM2+BN2+BO2+BP2+BQ2</f>
        <v>160</v>
      </c>
      <c r="BK2" s="23">
        <v>0</v>
      </c>
      <c r="BL2" s="23">
        <v>16</v>
      </c>
      <c r="BM2" s="23">
        <v>36</v>
      </c>
      <c r="BN2" s="23">
        <v>36</v>
      </c>
      <c r="BO2" s="23">
        <v>36</v>
      </c>
      <c r="BP2" s="23">
        <v>36</v>
      </c>
      <c r="BQ2" s="49">
        <v>0</v>
      </c>
    </row>
    <row r="3" spans="1:69">
      <c r="A3" s="43" t="s">
        <v>76</v>
      </c>
      <c r="B3" s="44" t="s">
        <v>78</v>
      </c>
      <c r="C3" s="45">
        <v>6400</v>
      </c>
      <c r="D3" s="46">
        <f>E3+M3</f>
        <v>1920</v>
      </c>
      <c r="E3" s="47">
        <f>F3+G3+H3+I3+J3+K3+L3</f>
        <v>960</v>
      </c>
      <c r="F3" s="23">
        <v>0</v>
      </c>
      <c r="G3" s="23">
        <v>96</v>
      </c>
      <c r="H3" s="23">
        <v>216</v>
      </c>
      <c r="I3" s="23">
        <v>216</v>
      </c>
      <c r="J3" s="23">
        <v>216</v>
      </c>
      <c r="K3" s="23">
        <v>216</v>
      </c>
      <c r="L3" s="23">
        <v>0</v>
      </c>
      <c r="M3" s="47">
        <f>N3+O3+P3+Q3+R3+S3+T3</f>
        <v>960</v>
      </c>
      <c r="N3" s="23">
        <v>0</v>
      </c>
      <c r="O3" s="23">
        <v>96</v>
      </c>
      <c r="P3" s="23">
        <v>216</v>
      </c>
      <c r="Q3" s="23">
        <v>216</v>
      </c>
      <c r="R3" s="23">
        <v>216</v>
      </c>
      <c r="S3" s="23">
        <v>216</v>
      </c>
      <c r="T3" s="48">
        <v>0</v>
      </c>
      <c r="U3" s="46">
        <f>V3+AD3+AL3+AT3+BB3+BJ3</f>
        <v>4480</v>
      </c>
      <c r="V3" s="47">
        <f>W3+X3+Y3+Z3+AA3+AB3+AC3</f>
        <v>960</v>
      </c>
      <c r="W3" s="23">
        <v>0</v>
      </c>
      <c r="X3" s="23">
        <v>96</v>
      </c>
      <c r="Y3" s="23">
        <v>216</v>
      </c>
      <c r="Z3" s="23">
        <v>216</v>
      </c>
      <c r="AA3" s="23">
        <v>216</v>
      </c>
      <c r="AB3" s="23">
        <v>216</v>
      </c>
      <c r="AC3" s="23">
        <v>0</v>
      </c>
      <c r="AD3" s="47">
        <f>AE3+AF3+AG3+AH3+AI3+AJ3+AK3</f>
        <v>960</v>
      </c>
      <c r="AE3" s="23">
        <v>0</v>
      </c>
      <c r="AF3" s="23">
        <v>96</v>
      </c>
      <c r="AG3" s="23">
        <v>216</v>
      </c>
      <c r="AH3" s="23">
        <v>216</v>
      </c>
      <c r="AI3" s="23">
        <v>216</v>
      </c>
      <c r="AJ3" s="23">
        <v>216</v>
      </c>
      <c r="AK3" s="23">
        <v>0</v>
      </c>
      <c r="AL3" s="47">
        <f>AM3+AN3+AO3+AP3+AQ3+AR3+AS3</f>
        <v>640</v>
      </c>
      <c r="AM3" s="23">
        <v>0</v>
      </c>
      <c r="AN3" s="23">
        <v>64</v>
      </c>
      <c r="AO3" s="23">
        <v>144</v>
      </c>
      <c r="AP3" s="23">
        <v>144</v>
      </c>
      <c r="AQ3" s="23">
        <v>144</v>
      </c>
      <c r="AR3" s="23">
        <v>144</v>
      </c>
      <c r="AS3" s="23">
        <v>0</v>
      </c>
      <c r="AT3" s="47">
        <f>AU3+AV3+AW3+AX3+AY3+AZ3+BA3</f>
        <v>640</v>
      </c>
      <c r="AU3" s="23">
        <v>0</v>
      </c>
      <c r="AV3" s="23">
        <v>64</v>
      </c>
      <c r="AW3" s="23">
        <v>144</v>
      </c>
      <c r="AX3" s="23">
        <v>144</v>
      </c>
      <c r="AY3" s="23">
        <v>144</v>
      </c>
      <c r="AZ3" s="23">
        <v>144</v>
      </c>
      <c r="BA3" s="23">
        <v>0</v>
      </c>
      <c r="BB3" s="47">
        <f>BC3+BD3+BE3+BF3+BG3+BH3+BI3</f>
        <v>640</v>
      </c>
      <c r="BC3" s="23">
        <v>0</v>
      </c>
      <c r="BD3" s="23">
        <v>64</v>
      </c>
      <c r="BE3" s="23">
        <v>144</v>
      </c>
      <c r="BF3" s="23">
        <v>144</v>
      </c>
      <c r="BG3" s="23">
        <v>144</v>
      </c>
      <c r="BH3" s="23">
        <v>144</v>
      </c>
      <c r="BI3" s="23">
        <v>0</v>
      </c>
      <c r="BJ3" s="47">
        <f>BK3+BL3+BM3+BN3+BO3+BP3+BQ3</f>
        <v>640</v>
      </c>
      <c r="BK3" s="23">
        <v>0</v>
      </c>
      <c r="BL3" s="23">
        <v>64</v>
      </c>
      <c r="BM3" s="23">
        <v>144</v>
      </c>
      <c r="BN3" s="23">
        <v>144</v>
      </c>
      <c r="BO3" s="23">
        <v>144</v>
      </c>
      <c r="BP3" s="23">
        <v>144</v>
      </c>
      <c r="BQ3" s="49">
        <v>0</v>
      </c>
    </row>
    <row r="4" spans="1:69">
      <c r="A4" s="43" t="s">
        <v>76</v>
      </c>
      <c r="B4" s="44" t="s">
        <v>79</v>
      </c>
      <c r="C4" s="45">
        <v>1152</v>
      </c>
      <c r="D4" s="46">
        <f>E4+M4</f>
        <v>576</v>
      </c>
      <c r="E4" s="47">
        <f>F4+G4+H4+I4+J4+K4+L4</f>
        <v>288</v>
      </c>
      <c r="F4" s="23">
        <v>0</v>
      </c>
      <c r="G4" s="23">
        <v>48</v>
      </c>
      <c r="H4" s="23">
        <v>60</v>
      </c>
      <c r="I4" s="23">
        <v>60</v>
      </c>
      <c r="J4" s="23">
        <v>60</v>
      </c>
      <c r="K4" s="23">
        <v>60</v>
      </c>
      <c r="L4" s="23">
        <v>0</v>
      </c>
      <c r="M4" s="47">
        <f>N4+O4+P4+Q4+R4+S4+T4</f>
        <v>288</v>
      </c>
      <c r="N4" s="23">
        <v>0</v>
      </c>
      <c r="O4" s="23">
        <v>48</v>
      </c>
      <c r="P4" s="23">
        <v>60</v>
      </c>
      <c r="Q4" s="23">
        <v>60</v>
      </c>
      <c r="R4" s="23">
        <v>60</v>
      </c>
      <c r="S4" s="23">
        <v>60</v>
      </c>
      <c r="T4" s="48">
        <v>0</v>
      </c>
      <c r="U4" s="46">
        <f>V4+AD4+AL4+AT4+BB4+BJ4</f>
        <v>576</v>
      </c>
      <c r="V4" s="47">
        <f>W4+X4+Y4+Z4+AA4+AB4+AC4</f>
        <v>96</v>
      </c>
      <c r="W4" s="23">
        <v>0</v>
      </c>
      <c r="X4" s="23">
        <v>16</v>
      </c>
      <c r="Y4" s="23">
        <v>20</v>
      </c>
      <c r="Z4" s="23">
        <v>20</v>
      </c>
      <c r="AA4" s="23">
        <v>20</v>
      </c>
      <c r="AB4" s="23">
        <v>20</v>
      </c>
      <c r="AC4" s="23">
        <v>0</v>
      </c>
      <c r="AD4" s="47">
        <f>AE4+AF4+AG4+AH4+AI4+AJ4+AK4</f>
        <v>96</v>
      </c>
      <c r="AE4" s="23">
        <v>0</v>
      </c>
      <c r="AF4" s="23">
        <v>16</v>
      </c>
      <c r="AG4" s="23">
        <v>20</v>
      </c>
      <c r="AH4" s="23">
        <v>20</v>
      </c>
      <c r="AI4" s="23">
        <v>20</v>
      </c>
      <c r="AJ4" s="23">
        <v>20</v>
      </c>
      <c r="AK4" s="23">
        <v>0</v>
      </c>
      <c r="AL4" s="47">
        <f>AM4+AN4+AO4+AP4+AQ4+AR4+AS4</f>
        <v>96</v>
      </c>
      <c r="AM4" s="23">
        <v>0</v>
      </c>
      <c r="AN4" s="23">
        <v>16</v>
      </c>
      <c r="AO4" s="23">
        <v>20</v>
      </c>
      <c r="AP4" s="23">
        <v>20</v>
      </c>
      <c r="AQ4" s="23">
        <v>20</v>
      </c>
      <c r="AR4" s="23">
        <v>20</v>
      </c>
      <c r="AS4" s="23">
        <v>0</v>
      </c>
      <c r="AT4" s="47">
        <f>AU4+AV4+AW4+AX4+AY4+AZ4+BA4</f>
        <v>96</v>
      </c>
      <c r="AU4" s="23">
        <v>0</v>
      </c>
      <c r="AV4" s="23">
        <v>16</v>
      </c>
      <c r="AW4" s="23">
        <v>20</v>
      </c>
      <c r="AX4" s="23">
        <v>20</v>
      </c>
      <c r="AY4" s="23">
        <v>20</v>
      </c>
      <c r="AZ4" s="23">
        <v>20</v>
      </c>
      <c r="BA4" s="23">
        <v>0</v>
      </c>
      <c r="BB4" s="47">
        <f>BC4+BD4+BE4+BF4+BG4+BH4+BI4</f>
        <v>96</v>
      </c>
      <c r="BC4" s="23">
        <v>0</v>
      </c>
      <c r="BD4" s="23">
        <v>16</v>
      </c>
      <c r="BE4" s="23">
        <v>20</v>
      </c>
      <c r="BF4" s="23">
        <v>20</v>
      </c>
      <c r="BG4" s="23">
        <v>20</v>
      </c>
      <c r="BH4" s="23">
        <v>20</v>
      </c>
      <c r="BI4" s="23">
        <v>0</v>
      </c>
      <c r="BJ4" s="47">
        <f>BK4+BL4+BM4+BN4+BO4+BP4+BQ4</f>
        <v>96</v>
      </c>
      <c r="BK4" s="23">
        <v>0</v>
      </c>
      <c r="BL4" s="23">
        <v>16</v>
      </c>
      <c r="BM4" s="23">
        <v>20</v>
      </c>
      <c r="BN4" s="23">
        <v>20</v>
      </c>
      <c r="BO4" s="23">
        <v>20</v>
      </c>
      <c r="BP4" s="23">
        <v>20</v>
      </c>
      <c r="BQ4" s="49">
        <v>0</v>
      </c>
    </row>
    <row r="5" spans="1:69">
      <c r="A5" s="43" t="s">
        <v>76</v>
      </c>
      <c r="B5" s="44" t="s">
        <v>80</v>
      </c>
      <c r="C5" s="45">
        <v>403</v>
      </c>
      <c r="D5" s="46">
        <f>E5+M5</f>
        <v>230</v>
      </c>
      <c r="E5" s="47">
        <f>F5+G5+H5+I5+J5+K5+L5</f>
        <v>115</v>
      </c>
      <c r="F5" s="23">
        <v>0</v>
      </c>
      <c r="G5" s="23">
        <v>15</v>
      </c>
      <c r="H5" s="23">
        <v>25</v>
      </c>
      <c r="I5" s="23">
        <v>25</v>
      </c>
      <c r="J5" s="23">
        <v>25</v>
      </c>
      <c r="K5" s="23">
        <v>25</v>
      </c>
      <c r="L5" s="23">
        <v>0</v>
      </c>
      <c r="M5" s="47">
        <f>N5+O5+P5+Q5+R5+S5+T5</f>
        <v>115</v>
      </c>
      <c r="N5" s="23">
        <v>0</v>
      </c>
      <c r="O5" s="23">
        <v>15</v>
      </c>
      <c r="P5" s="23">
        <v>25</v>
      </c>
      <c r="Q5" s="23">
        <v>25</v>
      </c>
      <c r="R5" s="23">
        <v>25</v>
      </c>
      <c r="S5" s="23">
        <v>25</v>
      </c>
      <c r="T5" s="48">
        <v>0</v>
      </c>
      <c r="U5" s="46">
        <f>V5+AD5+AL5+AT5+BB5+BJ5</f>
        <v>173</v>
      </c>
      <c r="V5" s="47">
        <f>W5+X5+Y5+Z5+AA5+AB5+AC5</f>
        <v>29</v>
      </c>
      <c r="W5" s="23">
        <v>0</v>
      </c>
      <c r="X5" s="23">
        <v>3</v>
      </c>
      <c r="Y5" s="23">
        <v>7</v>
      </c>
      <c r="Z5" s="23">
        <v>7</v>
      </c>
      <c r="AA5" s="23">
        <v>7</v>
      </c>
      <c r="AB5" s="23">
        <v>5</v>
      </c>
      <c r="AC5" s="23">
        <v>0</v>
      </c>
      <c r="AD5" s="47">
        <f>AE5+AF5+AG5+AH5+AI5+AJ5+AK5</f>
        <v>29</v>
      </c>
      <c r="AE5" s="23">
        <v>0</v>
      </c>
      <c r="AF5" s="23">
        <v>3</v>
      </c>
      <c r="AG5" s="23">
        <v>7</v>
      </c>
      <c r="AH5" s="23">
        <v>7</v>
      </c>
      <c r="AI5" s="23">
        <v>7</v>
      </c>
      <c r="AJ5" s="23">
        <v>5</v>
      </c>
      <c r="AK5" s="23">
        <v>0</v>
      </c>
      <c r="AL5" s="47">
        <f>AM5+AN5+AO5+AP5+AQ5+AR5+AS5</f>
        <v>29</v>
      </c>
      <c r="AM5" s="23">
        <v>0</v>
      </c>
      <c r="AN5" s="23">
        <v>3</v>
      </c>
      <c r="AO5" s="23">
        <v>7</v>
      </c>
      <c r="AP5" s="23">
        <v>7</v>
      </c>
      <c r="AQ5" s="23">
        <v>7</v>
      </c>
      <c r="AR5" s="23">
        <v>5</v>
      </c>
      <c r="AS5" s="23">
        <v>0</v>
      </c>
      <c r="AT5" s="47">
        <f>AU5+AV5+AW5+AX5+AY5+AZ5+BA5</f>
        <v>28</v>
      </c>
      <c r="AU5" s="23">
        <v>0</v>
      </c>
      <c r="AV5" s="23">
        <v>3</v>
      </c>
      <c r="AW5" s="23">
        <v>7</v>
      </c>
      <c r="AX5" s="23">
        <v>7</v>
      </c>
      <c r="AY5" s="23">
        <v>7</v>
      </c>
      <c r="AZ5" s="23">
        <v>4</v>
      </c>
      <c r="BA5" s="23">
        <v>0</v>
      </c>
      <c r="BB5" s="47">
        <f>BC5+BD5+BE5+BF5+BG5+BH5+BI5</f>
        <v>29</v>
      </c>
      <c r="BC5" s="23">
        <v>0</v>
      </c>
      <c r="BD5" s="23">
        <v>3</v>
      </c>
      <c r="BE5" s="23">
        <v>7</v>
      </c>
      <c r="BF5" s="23">
        <v>7</v>
      </c>
      <c r="BG5" s="23">
        <v>7</v>
      </c>
      <c r="BH5" s="23">
        <v>5</v>
      </c>
      <c r="BI5" s="23">
        <v>0</v>
      </c>
      <c r="BJ5" s="47">
        <f>BK5+BL5+BM5+BN5+BO5+BP5+BQ5</f>
        <v>29</v>
      </c>
      <c r="BK5" s="23">
        <v>0</v>
      </c>
      <c r="BL5" s="23">
        <v>3</v>
      </c>
      <c r="BM5" s="23">
        <v>7</v>
      </c>
      <c r="BN5" s="23">
        <v>7</v>
      </c>
      <c r="BO5" s="23">
        <v>7</v>
      </c>
      <c r="BP5" s="23">
        <v>5</v>
      </c>
      <c r="BQ5" s="49">
        <v>0</v>
      </c>
    </row>
    <row r="6" spans="1:69">
      <c r="A6" s="43" t="s">
        <v>76</v>
      </c>
      <c r="B6" s="44" t="s">
        <v>81</v>
      </c>
      <c r="C6" s="45">
        <v>2400</v>
      </c>
      <c r="D6" s="46">
        <f>E6+M6</f>
        <v>600</v>
      </c>
      <c r="E6" s="47">
        <f>F6+G6+H6+I6+J6+K6+L6</f>
        <v>300</v>
      </c>
      <c r="F6" s="23">
        <v>0</v>
      </c>
      <c r="G6" s="23">
        <v>30</v>
      </c>
      <c r="H6" s="23">
        <v>60</v>
      </c>
      <c r="I6" s="23">
        <v>75</v>
      </c>
      <c r="J6" s="23">
        <v>75</v>
      </c>
      <c r="K6" s="23">
        <v>60</v>
      </c>
      <c r="L6" s="23">
        <v>0</v>
      </c>
      <c r="M6" s="47">
        <f>N6+O6+P6+Q6+R6+S6+T6</f>
        <v>300</v>
      </c>
      <c r="N6" s="23">
        <v>0</v>
      </c>
      <c r="O6" s="23">
        <v>30</v>
      </c>
      <c r="P6" s="23">
        <v>60</v>
      </c>
      <c r="Q6" s="23">
        <v>75</v>
      </c>
      <c r="R6" s="23">
        <v>75</v>
      </c>
      <c r="S6" s="23">
        <v>60</v>
      </c>
      <c r="T6" s="48">
        <v>0</v>
      </c>
      <c r="U6" s="46">
        <f>V6+AD6+AL6+AT6+BB6+BJ6</f>
        <v>1800</v>
      </c>
      <c r="V6" s="47">
        <f>W6+X6+Y6+Z6+AA6+AB6+AC6</f>
        <v>300</v>
      </c>
      <c r="W6" s="23">
        <v>0</v>
      </c>
      <c r="X6" s="23">
        <v>30</v>
      </c>
      <c r="Y6" s="23">
        <v>60</v>
      </c>
      <c r="Z6" s="23">
        <v>75</v>
      </c>
      <c r="AA6" s="23">
        <v>75</v>
      </c>
      <c r="AB6" s="23">
        <v>60</v>
      </c>
      <c r="AC6" s="23">
        <v>0</v>
      </c>
      <c r="AD6" s="47">
        <f>AE6+AF6+AG6+AH6+AI6+AJ6+AK6</f>
        <v>300</v>
      </c>
      <c r="AE6" s="23">
        <v>0</v>
      </c>
      <c r="AF6" s="23">
        <v>30</v>
      </c>
      <c r="AG6" s="23">
        <v>60</v>
      </c>
      <c r="AH6" s="23">
        <v>75</v>
      </c>
      <c r="AI6" s="23">
        <v>75</v>
      </c>
      <c r="AJ6" s="23">
        <v>60</v>
      </c>
      <c r="AK6" s="23">
        <v>0</v>
      </c>
      <c r="AL6" s="47">
        <f>AM6+AN6+AO6+AP6+AQ6+AR6+AS6</f>
        <v>300</v>
      </c>
      <c r="AM6" s="23">
        <v>0</v>
      </c>
      <c r="AN6" s="23">
        <v>30</v>
      </c>
      <c r="AO6" s="23">
        <v>60</v>
      </c>
      <c r="AP6" s="23">
        <v>75</v>
      </c>
      <c r="AQ6" s="23">
        <v>75</v>
      </c>
      <c r="AR6" s="23">
        <v>60</v>
      </c>
      <c r="AS6" s="23">
        <v>0</v>
      </c>
      <c r="AT6" s="47">
        <f>AU6+AV6+AW6+AX6+AY6+AZ6+BA6</f>
        <v>300</v>
      </c>
      <c r="AU6" s="23">
        <v>0</v>
      </c>
      <c r="AV6" s="23">
        <v>30</v>
      </c>
      <c r="AW6" s="23">
        <v>60</v>
      </c>
      <c r="AX6" s="23">
        <v>75</v>
      </c>
      <c r="AY6" s="23">
        <v>75</v>
      </c>
      <c r="AZ6" s="23">
        <v>60</v>
      </c>
      <c r="BA6" s="23">
        <v>0</v>
      </c>
      <c r="BB6" s="47">
        <f>BC6+BD6+BE6+BF6+BG6+BH6+BI6</f>
        <v>300</v>
      </c>
      <c r="BC6" s="23">
        <v>0</v>
      </c>
      <c r="BD6" s="23">
        <v>30</v>
      </c>
      <c r="BE6" s="23">
        <v>60</v>
      </c>
      <c r="BF6" s="23">
        <v>75</v>
      </c>
      <c r="BG6" s="23">
        <v>75</v>
      </c>
      <c r="BH6" s="23">
        <v>60</v>
      </c>
      <c r="BI6" s="23">
        <v>0</v>
      </c>
      <c r="BJ6" s="47">
        <f>BK6+BL6+BM6+BN6+BO6+BP6+BQ6</f>
        <v>300</v>
      </c>
      <c r="BK6" s="23">
        <v>0</v>
      </c>
      <c r="BL6" s="23">
        <v>30</v>
      </c>
      <c r="BM6" s="23">
        <v>60</v>
      </c>
      <c r="BN6" s="23">
        <v>75</v>
      </c>
      <c r="BO6" s="23">
        <v>75</v>
      </c>
      <c r="BP6" s="23">
        <v>60</v>
      </c>
      <c r="BQ6" s="49">
        <v>0</v>
      </c>
    </row>
    <row r="7" spans="1:69">
      <c r="A7" s="43" t="s">
        <v>76</v>
      </c>
      <c r="B7" s="44" t="s">
        <v>82</v>
      </c>
      <c r="C7" s="45">
        <f>C6*4</f>
        <v>9600</v>
      </c>
      <c r="D7" s="46">
        <f>D6*4</f>
        <v>2400</v>
      </c>
      <c r="E7" s="47">
        <f>E6*4</f>
        <v>1200</v>
      </c>
      <c r="F7" s="23">
        <f>F6*$A$17</f>
        <v>0</v>
      </c>
      <c r="G7" s="23">
        <f t="shared" ref="G7:W7" si="0">G6*$A$17</f>
        <v>120</v>
      </c>
      <c r="H7" s="23">
        <f t="shared" si="0"/>
        <v>240</v>
      </c>
      <c r="I7" s="23">
        <f t="shared" si="0"/>
        <v>300</v>
      </c>
      <c r="J7" s="23">
        <f t="shared" si="0"/>
        <v>300</v>
      </c>
      <c r="K7" s="23">
        <f t="shared" si="0"/>
        <v>240</v>
      </c>
      <c r="L7" s="23">
        <f t="shared" si="0"/>
        <v>0</v>
      </c>
      <c r="M7" s="146">
        <f t="shared" si="0"/>
        <v>1200</v>
      </c>
      <c r="N7" s="23">
        <f t="shared" si="0"/>
        <v>0</v>
      </c>
      <c r="O7" s="23">
        <f t="shared" si="0"/>
        <v>120</v>
      </c>
      <c r="P7" s="23">
        <f t="shared" si="0"/>
        <v>240</v>
      </c>
      <c r="Q7" s="23">
        <f t="shared" si="0"/>
        <v>300</v>
      </c>
      <c r="R7" s="23">
        <f t="shared" si="0"/>
        <v>300</v>
      </c>
      <c r="S7" s="23">
        <f t="shared" si="0"/>
        <v>240</v>
      </c>
      <c r="T7" s="23">
        <f t="shared" si="0"/>
        <v>0</v>
      </c>
      <c r="U7" s="46">
        <f t="shared" si="0"/>
        <v>7200</v>
      </c>
      <c r="V7" s="147">
        <f t="shared" si="0"/>
        <v>1200</v>
      </c>
      <c r="W7" s="23">
        <f t="shared" si="0"/>
        <v>0</v>
      </c>
      <c r="X7" s="23">
        <f t="shared" ref="X7" si="1">X6*$A$17</f>
        <v>120</v>
      </c>
      <c r="Y7" s="23">
        <f t="shared" ref="Y7" si="2">Y6*$A$17</f>
        <v>240</v>
      </c>
      <c r="Z7" s="23">
        <f t="shared" ref="Z7" si="3">Z6*$A$17</f>
        <v>300</v>
      </c>
      <c r="AA7" s="23">
        <f t="shared" ref="AA7" si="4">AA6*$A$17</f>
        <v>300</v>
      </c>
      <c r="AB7" s="23">
        <f t="shared" ref="AB7" si="5">AB6*$A$17</f>
        <v>240</v>
      </c>
      <c r="AC7" s="23">
        <f t="shared" ref="AC7" si="6">AC6*$A$17</f>
        <v>0</v>
      </c>
      <c r="AD7" s="47">
        <f t="shared" ref="AD7" si="7">AD6*$A$17</f>
        <v>1200</v>
      </c>
      <c r="AE7" s="23">
        <f t="shared" ref="AE7" si="8">AE6*$A$17</f>
        <v>0</v>
      </c>
      <c r="AF7" s="23">
        <f t="shared" ref="AF7" si="9">AF6*$A$17</f>
        <v>120</v>
      </c>
      <c r="AG7" s="23">
        <f t="shared" ref="AG7" si="10">AG6*$A$17</f>
        <v>240</v>
      </c>
      <c r="AH7" s="23">
        <f t="shared" ref="AH7" si="11">AH6*$A$17</f>
        <v>300</v>
      </c>
      <c r="AI7" s="23">
        <f t="shared" ref="AI7" si="12">AI6*$A$17</f>
        <v>300</v>
      </c>
      <c r="AJ7" s="23">
        <f t="shared" ref="AJ7" si="13">AJ6*$A$17</f>
        <v>240</v>
      </c>
      <c r="AK7" s="23">
        <f t="shared" ref="AK7" si="14">AK6*$A$17</f>
        <v>0</v>
      </c>
      <c r="AL7" s="47">
        <f t="shared" ref="AL7" si="15">AL6*$A$17</f>
        <v>1200</v>
      </c>
      <c r="AM7" s="23">
        <f t="shared" ref="AM7" si="16">AM6*$A$17</f>
        <v>0</v>
      </c>
      <c r="AN7" s="23">
        <f t="shared" ref="AN7" si="17">AN6*$A$17</f>
        <v>120</v>
      </c>
      <c r="AO7" s="23">
        <f t="shared" ref="AO7" si="18">AO6*$A$17</f>
        <v>240</v>
      </c>
      <c r="AP7" s="23">
        <f t="shared" ref="AP7" si="19">AP6*$A$17</f>
        <v>300</v>
      </c>
      <c r="AQ7" s="23">
        <f t="shared" ref="AQ7" si="20">AQ6*$A$17</f>
        <v>300</v>
      </c>
      <c r="AR7" s="23">
        <f t="shared" ref="AR7" si="21">AR6*$A$17</f>
        <v>240</v>
      </c>
      <c r="AS7" s="23">
        <f t="shared" ref="AS7" si="22">AS6*$A$17</f>
        <v>0</v>
      </c>
      <c r="AT7" s="47">
        <f t="shared" ref="AT7" si="23">AT6*$A$17</f>
        <v>1200</v>
      </c>
      <c r="AU7" s="23">
        <f t="shared" ref="AU7" si="24">AU6*$A$17</f>
        <v>0</v>
      </c>
      <c r="AV7" s="23">
        <f t="shared" ref="AV7" si="25">AV6*$A$17</f>
        <v>120</v>
      </c>
      <c r="AW7" s="23">
        <f t="shared" ref="AW7" si="26">AW6*$A$17</f>
        <v>240</v>
      </c>
      <c r="AX7" s="23">
        <f t="shared" ref="AX7" si="27">AX6*$A$17</f>
        <v>300</v>
      </c>
      <c r="AY7" s="23">
        <f t="shared" ref="AY7" si="28">AY6*$A$17</f>
        <v>300</v>
      </c>
      <c r="AZ7" s="23">
        <f t="shared" ref="AZ7" si="29">AZ6*$A$17</f>
        <v>240</v>
      </c>
      <c r="BA7" s="23">
        <f t="shared" ref="BA7" si="30">BA6*$A$17</f>
        <v>0</v>
      </c>
      <c r="BB7" s="47">
        <f t="shared" ref="BB7" si="31">BB6*$A$17</f>
        <v>1200</v>
      </c>
      <c r="BC7" s="23">
        <f t="shared" ref="BC7" si="32">BC6*$A$17</f>
        <v>0</v>
      </c>
      <c r="BD7" s="23">
        <f t="shared" ref="BD7" si="33">BD6*$A$17</f>
        <v>120</v>
      </c>
      <c r="BE7" s="23">
        <f t="shared" ref="BE7" si="34">BE6*$A$17</f>
        <v>240</v>
      </c>
      <c r="BF7" s="23">
        <f t="shared" ref="BF7" si="35">BF6*$A$17</f>
        <v>300</v>
      </c>
      <c r="BG7" s="23">
        <f t="shared" ref="BG7" si="36">BG6*$A$17</f>
        <v>300</v>
      </c>
      <c r="BH7" s="23">
        <f t="shared" ref="BH7" si="37">BH6*$A$17</f>
        <v>240</v>
      </c>
      <c r="BI7" s="23">
        <f t="shared" ref="BI7" si="38">BI6*$A$17</f>
        <v>0</v>
      </c>
      <c r="BJ7" s="47">
        <f t="shared" ref="BJ7" si="39">BJ6*$A$17</f>
        <v>1200</v>
      </c>
      <c r="BK7" s="23">
        <f t="shared" ref="BK7" si="40">BK6*$A$17</f>
        <v>0</v>
      </c>
      <c r="BL7" s="23">
        <f t="shared" ref="BL7" si="41">BL6*$A$17</f>
        <v>120</v>
      </c>
      <c r="BM7" s="23">
        <f t="shared" ref="BM7" si="42">BM6*$A$17</f>
        <v>240</v>
      </c>
      <c r="BN7" s="23">
        <f t="shared" ref="BN7" si="43">BN6*$A$17</f>
        <v>300</v>
      </c>
      <c r="BO7" s="23">
        <f t="shared" ref="BO7" si="44">BO6*$A$17</f>
        <v>300</v>
      </c>
      <c r="BP7" s="23">
        <f t="shared" ref="BP7" si="45">BP6*$A$17</f>
        <v>240</v>
      </c>
      <c r="BQ7" s="49">
        <f t="shared" ref="BQ7" si="46">BQ6*$A$17</f>
        <v>0</v>
      </c>
    </row>
    <row r="8" spans="1:69">
      <c r="A8" s="43" t="s">
        <v>76</v>
      </c>
      <c r="B8" s="44" t="s">
        <v>83</v>
      </c>
      <c r="C8" s="45">
        <v>8</v>
      </c>
      <c r="D8" s="46">
        <v>2</v>
      </c>
      <c r="E8" s="47">
        <v>1</v>
      </c>
      <c r="F8" s="23">
        <v>0</v>
      </c>
      <c r="G8" s="23">
        <v>0</v>
      </c>
      <c r="H8" s="23">
        <v>0</v>
      </c>
      <c r="I8" s="23">
        <v>1</v>
      </c>
      <c r="J8" s="23">
        <v>0</v>
      </c>
      <c r="K8" s="23">
        <v>0</v>
      </c>
      <c r="L8" s="23">
        <v>0</v>
      </c>
      <c r="M8" s="47">
        <v>1</v>
      </c>
      <c r="N8" s="23">
        <v>0</v>
      </c>
      <c r="O8" s="23">
        <v>0</v>
      </c>
      <c r="P8" s="23">
        <v>0</v>
      </c>
      <c r="Q8" s="23">
        <v>1</v>
      </c>
      <c r="R8" s="23">
        <v>0</v>
      </c>
      <c r="S8" s="23">
        <v>0</v>
      </c>
      <c r="T8" s="48">
        <v>0</v>
      </c>
      <c r="U8" s="46">
        <v>6</v>
      </c>
      <c r="V8" s="47">
        <v>1</v>
      </c>
      <c r="W8" s="23">
        <v>0</v>
      </c>
      <c r="X8" s="23">
        <v>0</v>
      </c>
      <c r="Y8" s="23">
        <v>0</v>
      </c>
      <c r="Z8" s="23">
        <v>1</v>
      </c>
      <c r="AA8" s="23">
        <v>0</v>
      </c>
      <c r="AB8" s="23">
        <v>0</v>
      </c>
      <c r="AC8" s="23">
        <v>0</v>
      </c>
      <c r="AD8" s="47">
        <v>1</v>
      </c>
      <c r="AE8" s="23">
        <v>0</v>
      </c>
      <c r="AF8" s="23">
        <v>0</v>
      </c>
      <c r="AG8" s="23">
        <v>0</v>
      </c>
      <c r="AH8" s="23">
        <v>1</v>
      </c>
      <c r="AI8" s="23">
        <v>0</v>
      </c>
      <c r="AJ8" s="23">
        <v>0</v>
      </c>
      <c r="AK8" s="23">
        <v>0</v>
      </c>
      <c r="AL8" s="47">
        <v>1</v>
      </c>
      <c r="AM8" s="23">
        <v>0</v>
      </c>
      <c r="AN8" s="23">
        <v>0</v>
      </c>
      <c r="AO8" s="23">
        <v>0</v>
      </c>
      <c r="AP8" s="23">
        <v>1</v>
      </c>
      <c r="AQ8" s="23">
        <v>0</v>
      </c>
      <c r="AR8" s="23">
        <v>0</v>
      </c>
      <c r="AS8" s="23">
        <v>0</v>
      </c>
      <c r="AT8" s="47">
        <v>1</v>
      </c>
      <c r="AU8" s="23">
        <v>0</v>
      </c>
      <c r="AV8" s="23">
        <v>0</v>
      </c>
      <c r="AW8" s="23">
        <v>0</v>
      </c>
      <c r="AX8" s="23">
        <v>1</v>
      </c>
      <c r="AY8" s="23">
        <v>0</v>
      </c>
      <c r="AZ8" s="23">
        <v>0</v>
      </c>
      <c r="BA8" s="23">
        <v>0</v>
      </c>
      <c r="BB8" s="47">
        <v>1</v>
      </c>
      <c r="BC8" s="23">
        <v>0</v>
      </c>
      <c r="BD8" s="23">
        <v>0</v>
      </c>
      <c r="BE8" s="23">
        <v>0</v>
      </c>
      <c r="BF8" s="23">
        <v>1</v>
      </c>
      <c r="BG8" s="23">
        <v>0</v>
      </c>
      <c r="BH8" s="23">
        <v>0</v>
      </c>
      <c r="BI8" s="23">
        <v>0</v>
      </c>
      <c r="BJ8" s="47">
        <v>1</v>
      </c>
      <c r="BK8" s="23">
        <v>0</v>
      </c>
      <c r="BL8" s="23">
        <v>0</v>
      </c>
      <c r="BM8" s="23">
        <v>0</v>
      </c>
      <c r="BN8" s="23">
        <v>1</v>
      </c>
      <c r="BO8" s="23">
        <v>0</v>
      </c>
      <c r="BP8" s="23">
        <v>0</v>
      </c>
      <c r="BQ8" s="49">
        <v>0</v>
      </c>
    </row>
    <row r="9" spans="1:69">
      <c r="A9" s="43" t="s">
        <v>76</v>
      </c>
      <c r="B9" s="44" t="s">
        <v>84</v>
      </c>
      <c r="C9" s="45">
        <f>D9+U9</f>
        <v>5400</v>
      </c>
      <c r="D9" s="46">
        <f>E9+M9</f>
        <v>1800</v>
      </c>
      <c r="E9" s="47">
        <f>F9+G9+H9+I9+J9+K9+L9</f>
        <v>900</v>
      </c>
      <c r="F9" s="23">
        <v>0</v>
      </c>
      <c r="G9" s="23">
        <v>0</v>
      </c>
      <c r="H9" s="23">
        <v>0</v>
      </c>
      <c r="I9" s="23">
        <v>180</v>
      </c>
      <c r="J9" s="23">
        <v>360</v>
      </c>
      <c r="K9" s="23">
        <v>360</v>
      </c>
      <c r="L9" s="23">
        <v>0</v>
      </c>
      <c r="M9" s="47">
        <f>N9+O9+P9+Q9+R9+S9+T9</f>
        <v>900</v>
      </c>
      <c r="N9" s="23">
        <v>0</v>
      </c>
      <c r="O9" s="23">
        <v>0</v>
      </c>
      <c r="P9" s="23">
        <v>0</v>
      </c>
      <c r="Q9" s="23">
        <v>180</v>
      </c>
      <c r="R9" s="23">
        <v>360</v>
      </c>
      <c r="S9" s="23">
        <v>360</v>
      </c>
      <c r="T9" s="48">
        <v>0</v>
      </c>
      <c r="U9" s="46">
        <f>V9+AD9+AL9+AT9+BB9+BJ9</f>
        <v>3600</v>
      </c>
      <c r="V9" s="47">
        <f>W9+X9+Y9+Z9+AA9+AB9+AC9</f>
        <v>900</v>
      </c>
      <c r="W9" s="23">
        <v>0</v>
      </c>
      <c r="X9" s="23">
        <v>0</v>
      </c>
      <c r="Y9" s="23">
        <v>0</v>
      </c>
      <c r="Z9" s="23">
        <v>180</v>
      </c>
      <c r="AA9" s="23">
        <v>360</v>
      </c>
      <c r="AB9" s="23">
        <v>360</v>
      </c>
      <c r="AC9" s="23">
        <v>0</v>
      </c>
      <c r="AD9" s="47">
        <f>AE9+AF9+AG9+AH9+AI9+AJ9+AK9</f>
        <v>900</v>
      </c>
      <c r="AE9" s="23">
        <v>0</v>
      </c>
      <c r="AF9" s="23">
        <v>0</v>
      </c>
      <c r="AG9" s="23">
        <v>0</v>
      </c>
      <c r="AH9" s="23">
        <v>180</v>
      </c>
      <c r="AI9" s="23">
        <v>360</v>
      </c>
      <c r="AJ9" s="23">
        <v>360</v>
      </c>
      <c r="AK9" s="23">
        <v>0</v>
      </c>
      <c r="AL9" s="47">
        <f>AM9+AN9+AO9+AP9+AQ9+AR9+AS9</f>
        <v>450</v>
      </c>
      <c r="AM9" s="23">
        <v>0</v>
      </c>
      <c r="AN9" s="23">
        <v>0</v>
      </c>
      <c r="AO9" s="23">
        <v>0</v>
      </c>
      <c r="AP9" s="23">
        <v>90</v>
      </c>
      <c r="AQ9" s="23">
        <v>180</v>
      </c>
      <c r="AR9" s="23">
        <v>180</v>
      </c>
      <c r="AS9" s="23">
        <v>0</v>
      </c>
      <c r="AT9" s="47">
        <f>AU9+AV9+AW9+AX9+AY9+AZ9+BA9</f>
        <v>450</v>
      </c>
      <c r="AU9" s="23">
        <v>0</v>
      </c>
      <c r="AV9" s="23">
        <v>0</v>
      </c>
      <c r="AW9" s="23">
        <v>0</v>
      </c>
      <c r="AX9" s="23">
        <v>90</v>
      </c>
      <c r="AY9" s="23">
        <v>180</v>
      </c>
      <c r="AZ9" s="23">
        <v>180</v>
      </c>
      <c r="BA9" s="23">
        <v>0</v>
      </c>
      <c r="BB9" s="47">
        <f>BC9+BD9+BE9+BF9+BG9+BH9+BI9</f>
        <v>450</v>
      </c>
      <c r="BC9" s="23">
        <v>0</v>
      </c>
      <c r="BD9" s="23">
        <v>0</v>
      </c>
      <c r="BE9" s="23">
        <v>0</v>
      </c>
      <c r="BF9" s="23">
        <v>90</v>
      </c>
      <c r="BG9" s="23">
        <v>180</v>
      </c>
      <c r="BH9" s="23">
        <v>180</v>
      </c>
      <c r="BI9" s="23">
        <v>0</v>
      </c>
      <c r="BJ9" s="47">
        <f>BK9+BL9+BM9+BN9+BO9+BP9+BQ9</f>
        <v>450</v>
      </c>
      <c r="BK9" s="23">
        <v>0</v>
      </c>
      <c r="BL9" s="23">
        <v>0</v>
      </c>
      <c r="BM9" s="23">
        <v>0</v>
      </c>
      <c r="BN9" s="23">
        <v>90</v>
      </c>
      <c r="BO9" s="23">
        <v>180</v>
      </c>
      <c r="BP9" s="23">
        <v>180</v>
      </c>
      <c r="BQ9" s="49">
        <v>0</v>
      </c>
    </row>
    <row r="10" spans="1:69">
      <c r="A10" s="43" t="s">
        <v>85</v>
      </c>
      <c r="B10" s="44" t="s">
        <v>86</v>
      </c>
      <c r="C10" s="45">
        <v>1400</v>
      </c>
      <c r="D10" s="46">
        <f>E10+M10</f>
        <v>1400</v>
      </c>
      <c r="E10" s="47">
        <f>G10+H10+I10+J10+K10</f>
        <v>700</v>
      </c>
      <c r="F10" s="23">
        <v>0</v>
      </c>
      <c r="G10" s="23">
        <v>92</v>
      </c>
      <c r="H10" s="23">
        <v>161</v>
      </c>
      <c r="I10" s="23">
        <v>161</v>
      </c>
      <c r="J10" s="23">
        <v>161</v>
      </c>
      <c r="K10" s="23">
        <v>125</v>
      </c>
      <c r="L10" s="23">
        <v>0</v>
      </c>
      <c r="M10" s="47">
        <f>O10+P10+Q10+R10+S10</f>
        <v>700</v>
      </c>
      <c r="N10" s="23">
        <v>0</v>
      </c>
      <c r="O10" s="23">
        <v>92</v>
      </c>
      <c r="P10" s="23">
        <v>161</v>
      </c>
      <c r="Q10" s="23">
        <v>161</v>
      </c>
      <c r="R10" s="23">
        <v>161</v>
      </c>
      <c r="S10" s="23">
        <v>125</v>
      </c>
      <c r="T10" s="48">
        <v>0</v>
      </c>
      <c r="U10" s="50"/>
      <c r="V10" s="51"/>
      <c r="W10" s="52"/>
      <c r="X10" s="52"/>
      <c r="Y10" s="52"/>
      <c r="Z10" s="52"/>
      <c r="AA10" s="52"/>
      <c r="AB10" s="52"/>
      <c r="AC10" s="52"/>
      <c r="AD10" s="51"/>
      <c r="AE10" s="52"/>
      <c r="AF10" s="52"/>
      <c r="AG10" s="52"/>
      <c r="AH10" s="52"/>
      <c r="AI10" s="52"/>
      <c r="AJ10" s="52"/>
      <c r="AK10" s="52"/>
      <c r="AL10" s="51"/>
      <c r="AM10" s="52"/>
      <c r="AN10" s="52"/>
      <c r="AO10" s="52"/>
      <c r="AP10" s="52"/>
      <c r="AQ10" s="52"/>
      <c r="AR10" s="52"/>
      <c r="AS10" s="52"/>
      <c r="AT10" s="51"/>
      <c r="AU10" s="52"/>
      <c r="AV10" s="52"/>
      <c r="AW10" s="52"/>
      <c r="AX10" s="52"/>
      <c r="AY10" s="52"/>
      <c r="AZ10" s="52"/>
      <c r="BA10" s="52"/>
      <c r="BB10" s="51"/>
      <c r="BC10" s="52"/>
      <c r="BD10" s="52"/>
      <c r="BE10" s="52"/>
      <c r="BF10" s="52"/>
      <c r="BG10" s="52"/>
      <c r="BH10" s="52"/>
      <c r="BI10" s="52"/>
      <c r="BJ10" s="51"/>
      <c r="BK10" s="52"/>
      <c r="BL10" s="52"/>
      <c r="BM10" s="52"/>
      <c r="BN10" s="52"/>
      <c r="BO10" s="52"/>
      <c r="BP10" s="52"/>
      <c r="BQ10" s="53"/>
    </row>
    <row r="11" spans="1:69">
      <c r="A11" s="43" t="s">
        <v>85</v>
      </c>
      <c r="B11" s="44" t="s">
        <v>87</v>
      </c>
      <c r="C11" s="45">
        <v>2690</v>
      </c>
      <c r="D11" s="46">
        <f>E11+M11</f>
        <v>2690</v>
      </c>
      <c r="E11" s="47">
        <f>F11+G11+H11+I11+J11+K11+L11</f>
        <v>1345</v>
      </c>
      <c r="F11" s="23">
        <v>0</v>
      </c>
      <c r="G11" s="23">
        <v>144</v>
      </c>
      <c r="H11" s="23">
        <v>300</v>
      </c>
      <c r="I11" s="23">
        <v>300</v>
      </c>
      <c r="J11" s="23">
        <v>300</v>
      </c>
      <c r="K11" s="23">
        <v>301</v>
      </c>
      <c r="L11" s="23">
        <v>0</v>
      </c>
      <c r="M11" s="47">
        <f>N11+O11+P11+Q11+R11+S11+T11</f>
        <v>1345</v>
      </c>
      <c r="N11" s="23">
        <v>0</v>
      </c>
      <c r="O11" s="23">
        <v>144</v>
      </c>
      <c r="P11" s="23">
        <v>300</v>
      </c>
      <c r="Q11" s="23">
        <v>300</v>
      </c>
      <c r="R11" s="23">
        <v>300</v>
      </c>
      <c r="S11" s="23">
        <v>301</v>
      </c>
      <c r="T11" s="23">
        <v>0</v>
      </c>
      <c r="U11" s="50"/>
      <c r="V11" s="51"/>
      <c r="W11" s="52"/>
      <c r="X11" s="52"/>
      <c r="Y11" s="52"/>
      <c r="Z11" s="52"/>
      <c r="AA11" s="52"/>
      <c r="AB11" s="52"/>
      <c r="AC11" s="52"/>
      <c r="AD11" s="51"/>
      <c r="AE11" s="52"/>
      <c r="AF11" s="52"/>
      <c r="AG11" s="52"/>
      <c r="AH11" s="52"/>
      <c r="AI11" s="52"/>
      <c r="AJ11" s="52"/>
      <c r="AK11" s="52"/>
      <c r="AL11" s="51"/>
      <c r="AM11" s="52"/>
      <c r="AN11" s="52"/>
      <c r="AO11" s="52"/>
      <c r="AP11" s="52"/>
      <c r="AQ11" s="52"/>
      <c r="AR11" s="52"/>
      <c r="AS11" s="52"/>
      <c r="AT11" s="51"/>
      <c r="AU11" s="52"/>
      <c r="AV11" s="52"/>
      <c r="AW11" s="52"/>
      <c r="AX11" s="52"/>
      <c r="AY11" s="52"/>
      <c r="AZ11" s="52"/>
      <c r="BA11" s="52"/>
      <c r="BB11" s="51"/>
      <c r="BC11" s="52"/>
      <c r="BD11" s="52"/>
      <c r="BE11" s="52"/>
      <c r="BF11" s="52"/>
      <c r="BG11" s="52"/>
      <c r="BH11" s="52"/>
      <c r="BI11" s="52"/>
      <c r="BJ11" s="51"/>
      <c r="BK11" s="52"/>
      <c r="BL11" s="52"/>
      <c r="BM11" s="52"/>
      <c r="BN11" s="52"/>
      <c r="BO11" s="52"/>
      <c r="BP11" s="52"/>
      <c r="BQ11" s="53"/>
    </row>
    <row r="12" spans="1:69">
      <c r="A12" s="43" t="s">
        <v>85</v>
      </c>
      <c r="B12" s="44" t="s">
        <v>88</v>
      </c>
      <c r="C12" s="45">
        <v>1345</v>
      </c>
      <c r="D12" s="46">
        <f>E12+M12</f>
        <v>1345</v>
      </c>
      <c r="E12" s="47">
        <f>F12+G12+H12+I12+J12+K12+L12</f>
        <v>673</v>
      </c>
      <c r="F12" s="23">
        <v>0</v>
      </c>
      <c r="G12" s="23">
        <v>72</v>
      </c>
      <c r="H12" s="23">
        <v>150</v>
      </c>
      <c r="I12" s="23">
        <v>150</v>
      </c>
      <c r="J12" s="23">
        <v>150</v>
      </c>
      <c r="K12" s="23">
        <v>151</v>
      </c>
      <c r="L12" s="23">
        <v>0</v>
      </c>
      <c r="M12" s="47">
        <f>N12+O12+P12+Q12+R12+S12+T12</f>
        <v>672</v>
      </c>
      <c r="N12" s="23">
        <v>0</v>
      </c>
      <c r="O12" s="23">
        <v>72</v>
      </c>
      <c r="P12" s="23">
        <v>150</v>
      </c>
      <c r="Q12" s="23">
        <v>150</v>
      </c>
      <c r="R12" s="23">
        <v>150</v>
      </c>
      <c r="S12" s="23">
        <v>150</v>
      </c>
      <c r="T12" s="23">
        <v>0</v>
      </c>
      <c r="U12" s="50"/>
      <c r="V12" s="51"/>
      <c r="W12" s="52"/>
      <c r="X12" s="52"/>
      <c r="Y12" s="52"/>
      <c r="Z12" s="52"/>
      <c r="AA12" s="52"/>
      <c r="AB12" s="52"/>
      <c r="AC12" s="52"/>
      <c r="AD12" s="51"/>
      <c r="AE12" s="52"/>
      <c r="AF12" s="52"/>
      <c r="AG12" s="52"/>
      <c r="AH12" s="52"/>
      <c r="AI12" s="52"/>
      <c r="AJ12" s="52"/>
      <c r="AK12" s="52"/>
      <c r="AL12" s="51"/>
      <c r="AM12" s="52"/>
      <c r="AN12" s="52"/>
      <c r="AO12" s="52"/>
      <c r="AP12" s="52"/>
      <c r="AQ12" s="52"/>
      <c r="AR12" s="52"/>
      <c r="AS12" s="52"/>
      <c r="AT12" s="51"/>
      <c r="AU12" s="52"/>
      <c r="AV12" s="52"/>
      <c r="AW12" s="52"/>
      <c r="AX12" s="52"/>
      <c r="AY12" s="52"/>
      <c r="AZ12" s="52"/>
      <c r="BA12" s="52"/>
      <c r="BB12" s="51"/>
      <c r="BC12" s="52"/>
      <c r="BD12" s="52"/>
      <c r="BE12" s="52"/>
      <c r="BF12" s="52"/>
      <c r="BG12" s="52"/>
      <c r="BH12" s="52"/>
      <c r="BI12" s="52"/>
      <c r="BJ12" s="51"/>
      <c r="BK12" s="52"/>
      <c r="BL12" s="52"/>
      <c r="BM12" s="52"/>
      <c r="BN12" s="52"/>
      <c r="BO12" s="52"/>
      <c r="BP12" s="52"/>
      <c r="BQ12" s="53"/>
    </row>
    <row r="13" spans="1:69">
      <c r="A13" s="43" t="s">
        <v>85</v>
      </c>
      <c r="B13" s="44" t="s">
        <v>89</v>
      </c>
      <c r="C13" s="45">
        <v>140</v>
      </c>
      <c r="D13" s="46">
        <f>E13+M13</f>
        <v>140</v>
      </c>
      <c r="E13" s="47">
        <f>F13+G13+H13+I13+J13+K13+L13</f>
        <v>70</v>
      </c>
      <c r="F13" s="23">
        <v>0</v>
      </c>
      <c r="G13" s="23">
        <v>7</v>
      </c>
      <c r="H13" s="23">
        <v>16</v>
      </c>
      <c r="I13" s="23">
        <v>16</v>
      </c>
      <c r="J13" s="23">
        <v>16</v>
      </c>
      <c r="K13" s="23">
        <v>15</v>
      </c>
      <c r="L13" s="23">
        <v>0</v>
      </c>
      <c r="M13" s="47">
        <f>N13+O13+P13+Q13+R13+S13+T13</f>
        <v>70</v>
      </c>
      <c r="N13" s="23">
        <v>0</v>
      </c>
      <c r="O13" s="23">
        <v>7</v>
      </c>
      <c r="P13" s="23">
        <v>16</v>
      </c>
      <c r="Q13" s="23">
        <v>16</v>
      </c>
      <c r="R13" s="23">
        <v>16</v>
      </c>
      <c r="S13" s="23">
        <v>15</v>
      </c>
      <c r="T13" s="48">
        <v>0</v>
      </c>
      <c r="U13" s="50"/>
      <c r="V13" s="51"/>
      <c r="W13" s="52"/>
      <c r="X13" s="52"/>
      <c r="Y13" s="52"/>
      <c r="Z13" s="52"/>
      <c r="AA13" s="52"/>
      <c r="AB13" s="52"/>
      <c r="AC13" s="52"/>
      <c r="AD13" s="51"/>
      <c r="AE13" s="52"/>
      <c r="AF13" s="52"/>
      <c r="AG13" s="52"/>
      <c r="AH13" s="52"/>
      <c r="AI13" s="52"/>
      <c r="AJ13" s="52"/>
      <c r="AK13" s="52"/>
      <c r="AL13" s="51"/>
      <c r="AM13" s="52"/>
      <c r="AN13" s="52"/>
      <c r="AO13" s="52"/>
      <c r="AP13" s="52"/>
      <c r="AQ13" s="52"/>
      <c r="AR13" s="52"/>
      <c r="AS13" s="52"/>
      <c r="AT13" s="51"/>
      <c r="AU13" s="52"/>
      <c r="AV13" s="52"/>
      <c r="AW13" s="52"/>
      <c r="AX13" s="52"/>
      <c r="AY13" s="52"/>
      <c r="AZ13" s="52"/>
      <c r="BA13" s="52"/>
      <c r="BB13" s="51"/>
      <c r="BC13" s="52"/>
      <c r="BD13" s="52"/>
      <c r="BE13" s="52"/>
      <c r="BF13" s="52"/>
      <c r="BG13" s="52"/>
      <c r="BH13" s="52"/>
      <c r="BI13" s="52"/>
      <c r="BJ13" s="51"/>
      <c r="BK13" s="52"/>
      <c r="BL13" s="52"/>
      <c r="BM13" s="52"/>
      <c r="BN13" s="52"/>
      <c r="BO13" s="52"/>
      <c r="BP13" s="52"/>
      <c r="BQ13" s="53"/>
    </row>
    <row r="14" spans="1:69">
      <c r="A14" s="43" t="s">
        <v>85</v>
      </c>
      <c r="B14" s="44" t="s">
        <v>90</v>
      </c>
      <c r="C14" s="45">
        <v>576</v>
      </c>
      <c r="D14" s="46">
        <v>576</v>
      </c>
      <c r="E14" s="47">
        <f>F14+G14+H14+I14+J14+K14+L14</f>
        <v>288</v>
      </c>
      <c r="F14" s="23">
        <v>0</v>
      </c>
      <c r="G14" s="23">
        <v>48</v>
      </c>
      <c r="H14" s="23">
        <v>60</v>
      </c>
      <c r="I14" s="23">
        <v>60</v>
      </c>
      <c r="J14" s="23">
        <v>60</v>
      </c>
      <c r="K14" s="23">
        <v>60</v>
      </c>
      <c r="L14" s="23">
        <v>0</v>
      </c>
      <c r="M14" s="47">
        <f>N14+O14+P14+Q14+R14+S14+T14</f>
        <v>288</v>
      </c>
      <c r="N14" s="23">
        <v>0</v>
      </c>
      <c r="O14" s="23">
        <v>48</v>
      </c>
      <c r="P14" s="23">
        <v>60</v>
      </c>
      <c r="Q14" s="23">
        <v>60</v>
      </c>
      <c r="R14" s="23">
        <v>60</v>
      </c>
      <c r="S14" s="23">
        <v>60</v>
      </c>
      <c r="T14" s="48">
        <v>0</v>
      </c>
      <c r="U14" s="50"/>
      <c r="V14" s="51"/>
      <c r="W14" s="52"/>
      <c r="X14" s="52"/>
      <c r="Y14" s="52"/>
      <c r="Z14" s="52"/>
      <c r="AA14" s="52"/>
      <c r="AB14" s="52"/>
      <c r="AC14" s="52"/>
      <c r="AD14" s="51"/>
      <c r="AE14" s="52"/>
      <c r="AF14" s="52"/>
      <c r="AG14" s="52"/>
      <c r="AH14" s="52"/>
      <c r="AI14" s="52"/>
      <c r="AJ14" s="52"/>
      <c r="AK14" s="52"/>
      <c r="AL14" s="51"/>
      <c r="AM14" s="52"/>
      <c r="AN14" s="52"/>
      <c r="AO14" s="52"/>
      <c r="AP14" s="52"/>
      <c r="AQ14" s="52"/>
      <c r="AR14" s="52"/>
      <c r="AS14" s="52"/>
      <c r="AT14" s="51"/>
      <c r="AU14" s="52"/>
      <c r="AV14" s="52"/>
      <c r="AW14" s="52"/>
      <c r="AX14" s="52"/>
      <c r="AY14" s="52"/>
      <c r="AZ14" s="52"/>
      <c r="BA14" s="52"/>
      <c r="BB14" s="51"/>
      <c r="BC14" s="52"/>
      <c r="BD14" s="52"/>
      <c r="BE14" s="52"/>
      <c r="BF14" s="52"/>
      <c r="BG14" s="52"/>
      <c r="BH14" s="52"/>
      <c r="BI14" s="52"/>
      <c r="BJ14" s="51"/>
      <c r="BK14" s="52"/>
      <c r="BL14" s="52"/>
      <c r="BM14" s="52"/>
      <c r="BN14" s="52"/>
      <c r="BO14" s="52"/>
      <c r="BP14" s="52"/>
      <c r="BQ14" s="53"/>
    </row>
    <row r="15" spans="1:69">
      <c r="A15" s="43" t="s">
        <v>91</v>
      </c>
      <c r="B15" s="44" t="s">
        <v>92</v>
      </c>
      <c r="C15" s="45">
        <v>576</v>
      </c>
      <c r="D15" s="46">
        <f>E15+M15</f>
        <v>576</v>
      </c>
      <c r="E15" s="47">
        <f>F15+G15+H15+I15+J15+K15+L15</f>
        <v>288</v>
      </c>
      <c r="F15" s="23">
        <v>0</v>
      </c>
      <c r="G15" s="23">
        <v>30</v>
      </c>
      <c r="H15" s="23">
        <v>64</v>
      </c>
      <c r="I15" s="23">
        <v>66</v>
      </c>
      <c r="J15" s="23">
        <v>64</v>
      </c>
      <c r="K15" s="23">
        <v>64</v>
      </c>
      <c r="L15" s="23">
        <v>0</v>
      </c>
      <c r="M15" s="47">
        <f>N15+O15+P15+Q15+R15+S15+T15</f>
        <v>288</v>
      </c>
      <c r="N15" s="23">
        <v>0</v>
      </c>
      <c r="O15" s="23">
        <v>30</v>
      </c>
      <c r="P15" s="23">
        <v>64</v>
      </c>
      <c r="Q15" s="23">
        <v>66</v>
      </c>
      <c r="R15" s="23">
        <v>64</v>
      </c>
      <c r="S15" s="23">
        <v>64</v>
      </c>
      <c r="T15" s="48">
        <v>0</v>
      </c>
      <c r="U15" s="50"/>
      <c r="V15" s="51"/>
      <c r="W15" s="52"/>
      <c r="X15" s="52"/>
      <c r="Y15" s="52"/>
      <c r="Z15" s="52"/>
      <c r="AA15" s="52"/>
      <c r="AB15" s="52"/>
      <c r="AC15" s="52"/>
      <c r="AD15" s="51"/>
      <c r="AE15" s="52"/>
      <c r="AF15" s="52"/>
      <c r="AG15" s="52"/>
      <c r="AH15" s="52"/>
      <c r="AI15" s="52"/>
      <c r="AJ15" s="52"/>
      <c r="AK15" s="52"/>
      <c r="AL15" s="51"/>
      <c r="AM15" s="52"/>
      <c r="AN15" s="52"/>
      <c r="AO15" s="52"/>
      <c r="AP15" s="52"/>
      <c r="AQ15" s="52"/>
      <c r="AR15" s="52"/>
      <c r="AS15" s="52"/>
      <c r="AT15" s="51"/>
      <c r="AU15" s="52"/>
      <c r="AV15" s="52"/>
      <c r="AW15" s="52"/>
      <c r="AX15" s="52"/>
      <c r="AY15" s="52"/>
      <c r="AZ15" s="52"/>
      <c r="BA15" s="52"/>
      <c r="BB15" s="51"/>
      <c r="BC15" s="52"/>
      <c r="BD15" s="52"/>
      <c r="BE15" s="52"/>
      <c r="BF15" s="52"/>
      <c r="BG15" s="52"/>
      <c r="BH15" s="52"/>
      <c r="BI15" s="52"/>
      <c r="BJ15" s="51"/>
      <c r="BK15" s="52"/>
      <c r="BL15" s="52"/>
      <c r="BM15" s="52"/>
      <c r="BN15" s="52"/>
      <c r="BO15" s="52"/>
      <c r="BP15" s="52"/>
      <c r="BQ15" s="53"/>
    </row>
    <row r="16" spans="1:69" ht="15.75" thickBot="1">
      <c r="A16" s="54" t="s">
        <v>91</v>
      </c>
      <c r="B16" s="55" t="s">
        <v>93</v>
      </c>
      <c r="C16" s="56">
        <v>1728</v>
      </c>
      <c r="D16" s="57">
        <f>E16+M16</f>
        <v>1728</v>
      </c>
      <c r="E16" s="58">
        <f t="shared" ref="E16:T16" si="47">E15*3</f>
        <v>864</v>
      </c>
      <c r="F16" s="59">
        <f t="shared" si="47"/>
        <v>0</v>
      </c>
      <c r="G16" s="59">
        <f t="shared" si="47"/>
        <v>90</v>
      </c>
      <c r="H16" s="59">
        <f t="shared" si="47"/>
        <v>192</v>
      </c>
      <c r="I16" s="59">
        <f t="shared" si="47"/>
        <v>198</v>
      </c>
      <c r="J16" s="59">
        <f t="shared" si="47"/>
        <v>192</v>
      </c>
      <c r="K16" s="59">
        <f t="shared" si="47"/>
        <v>192</v>
      </c>
      <c r="L16" s="59">
        <f t="shared" si="47"/>
        <v>0</v>
      </c>
      <c r="M16" s="58">
        <f t="shared" si="47"/>
        <v>864</v>
      </c>
      <c r="N16" s="59">
        <f t="shared" si="47"/>
        <v>0</v>
      </c>
      <c r="O16" s="59">
        <f t="shared" si="47"/>
        <v>90</v>
      </c>
      <c r="P16" s="59">
        <f t="shared" si="47"/>
        <v>192</v>
      </c>
      <c r="Q16" s="59">
        <f t="shared" si="47"/>
        <v>198</v>
      </c>
      <c r="R16" s="59">
        <f t="shared" si="47"/>
        <v>192</v>
      </c>
      <c r="S16" s="59">
        <f t="shared" si="47"/>
        <v>192</v>
      </c>
      <c r="T16" s="60">
        <f t="shared" si="47"/>
        <v>0</v>
      </c>
      <c r="U16" s="61"/>
      <c r="V16" s="62"/>
      <c r="W16" s="63"/>
      <c r="X16" s="63"/>
      <c r="Y16" s="63"/>
      <c r="Z16" s="63"/>
      <c r="AA16" s="63"/>
      <c r="AB16" s="63"/>
      <c r="AC16" s="63"/>
      <c r="AD16" s="62"/>
      <c r="AE16" s="63"/>
      <c r="AF16" s="63"/>
      <c r="AG16" s="63"/>
      <c r="AH16" s="63"/>
      <c r="AI16" s="63"/>
      <c r="AJ16" s="63"/>
      <c r="AK16" s="63"/>
      <c r="AL16" s="62"/>
      <c r="AM16" s="63"/>
      <c r="AN16" s="63"/>
      <c r="AO16" s="63"/>
      <c r="AP16" s="63"/>
      <c r="AQ16" s="63"/>
      <c r="AR16" s="63"/>
      <c r="AS16" s="63"/>
      <c r="AT16" s="62"/>
      <c r="AU16" s="63"/>
      <c r="AV16" s="63"/>
      <c r="AW16" s="63"/>
      <c r="AX16" s="63"/>
      <c r="AY16" s="63"/>
      <c r="AZ16" s="63"/>
      <c r="BA16" s="63"/>
      <c r="BB16" s="62"/>
      <c r="BC16" s="63"/>
      <c r="BD16" s="63"/>
      <c r="BE16" s="63"/>
      <c r="BF16" s="63"/>
      <c r="BG16" s="63"/>
      <c r="BH16" s="63"/>
      <c r="BI16" s="63"/>
      <c r="BJ16" s="62"/>
      <c r="BK16" s="63"/>
      <c r="BL16" s="63"/>
      <c r="BM16" s="63"/>
      <c r="BN16" s="63"/>
      <c r="BO16" s="63"/>
      <c r="BP16" s="63"/>
      <c r="BQ16" s="64"/>
    </row>
    <row r="17" spans="1:69" hidden="1">
      <c r="A17" s="81">
        <v>4</v>
      </c>
      <c r="B17" s="81"/>
      <c r="C17" s="143"/>
      <c r="D17" s="143"/>
      <c r="E17" s="143"/>
      <c r="F17" s="66"/>
      <c r="G17" s="66"/>
      <c r="H17" s="66"/>
      <c r="I17" s="66"/>
      <c r="J17" s="66"/>
      <c r="K17" s="66"/>
      <c r="L17" s="66"/>
      <c r="M17" s="143"/>
      <c r="N17" s="66"/>
      <c r="O17" s="66"/>
      <c r="P17" s="66"/>
      <c r="Q17" s="66"/>
      <c r="R17" s="66"/>
      <c r="S17" s="66"/>
      <c r="T17" s="66"/>
      <c r="U17" s="144"/>
      <c r="V17" s="144"/>
      <c r="W17" s="145"/>
      <c r="X17" s="145"/>
      <c r="Y17" s="145"/>
      <c r="Z17" s="145"/>
      <c r="AA17" s="145"/>
      <c r="AB17" s="145"/>
      <c r="AC17" s="145"/>
      <c r="AD17" s="144"/>
      <c r="AE17" s="145"/>
      <c r="AF17" s="145"/>
      <c r="AG17" s="145"/>
      <c r="AH17" s="145"/>
      <c r="AI17" s="145"/>
      <c r="AJ17" s="145"/>
      <c r="AK17" s="145"/>
      <c r="AL17" s="144"/>
      <c r="AM17" s="145"/>
      <c r="AN17" s="145"/>
      <c r="AO17" s="145"/>
      <c r="AP17" s="145"/>
      <c r="AQ17" s="145"/>
      <c r="AR17" s="145"/>
      <c r="AS17" s="145"/>
      <c r="AT17" s="144"/>
      <c r="AU17" s="145"/>
      <c r="AV17" s="145"/>
      <c r="AW17" s="145"/>
      <c r="AX17" s="145"/>
      <c r="AY17" s="145"/>
      <c r="AZ17" s="145"/>
      <c r="BA17" s="145"/>
      <c r="BB17" s="144"/>
      <c r="BC17" s="145"/>
      <c r="BD17" s="145"/>
      <c r="BE17" s="145"/>
      <c r="BF17" s="145"/>
      <c r="BG17" s="145"/>
      <c r="BH17" s="145"/>
      <c r="BI17" s="145"/>
      <c r="BJ17" s="144"/>
      <c r="BK17" s="145"/>
      <c r="BL17" s="145"/>
      <c r="BM17" s="145"/>
      <c r="BN17" s="145"/>
      <c r="BO17" s="145"/>
      <c r="BP17" s="145"/>
      <c r="BQ17" s="145"/>
    </row>
    <row r="19" spans="1:69" ht="15.75" thickBot="1">
      <c r="A19" s="81" t="s">
        <v>94</v>
      </c>
      <c r="N19" s="65"/>
      <c r="O19" s="65"/>
      <c r="P19" s="65"/>
      <c r="Q19" s="65"/>
      <c r="R19" s="65"/>
    </row>
    <row r="20" spans="1:69">
      <c r="A20" s="12" t="s">
        <v>56</v>
      </c>
      <c r="B20" s="2" t="s">
        <v>57</v>
      </c>
      <c r="C20" s="2" t="s">
        <v>58</v>
      </c>
      <c r="D20" s="2" t="s">
        <v>61</v>
      </c>
      <c r="E20" s="2" t="s">
        <v>62</v>
      </c>
      <c r="F20" s="2" t="s">
        <v>63</v>
      </c>
      <c r="G20" s="2" t="s">
        <v>64</v>
      </c>
      <c r="H20" s="2" t="s">
        <v>65</v>
      </c>
      <c r="I20" s="2" t="s">
        <v>66</v>
      </c>
      <c r="J20" s="13" t="s">
        <v>67</v>
      </c>
      <c r="K20" s="82"/>
      <c r="N20" s="65"/>
      <c r="O20" s="65"/>
      <c r="P20" s="65"/>
      <c r="Q20" s="65"/>
      <c r="R20" s="65"/>
    </row>
    <row r="21" spans="1:69">
      <c r="A21" s="43" t="s">
        <v>76</v>
      </c>
      <c r="B21" s="44" t="s">
        <v>77</v>
      </c>
      <c r="C21" s="47">
        <v>1600</v>
      </c>
      <c r="D21" s="83">
        <f t="shared" ref="D21:D26" si="48">F2+N2+W2+AE2+AM2+AU2+BC2+BK2</f>
        <v>0</v>
      </c>
      <c r="E21" s="83">
        <f t="shared" ref="E21:J21" si="49">G2+O2+X2+AF2+AN2+AV2+BD2+BL2</f>
        <v>160</v>
      </c>
      <c r="F21" s="83">
        <f t="shared" si="49"/>
        <v>360</v>
      </c>
      <c r="G21" s="83">
        <f t="shared" si="49"/>
        <v>360</v>
      </c>
      <c r="H21" s="83">
        <f t="shared" si="49"/>
        <v>360</v>
      </c>
      <c r="I21" s="83">
        <f t="shared" si="49"/>
        <v>360</v>
      </c>
      <c r="J21" s="84">
        <f t="shared" si="49"/>
        <v>0</v>
      </c>
      <c r="N21" s="66"/>
      <c r="O21" s="66"/>
      <c r="P21" s="66"/>
      <c r="Q21" s="66"/>
      <c r="R21" s="66"/>
    </row>
    <row r="22" spans="1:69">
      <c r="A22" s="43" t="s">
        <v>76</v>
      </c>
      <c r="B22" s="44" t="s">
        <v>78</v>
      </c>
      <c r="C22" s="47">
        <v>6400</v>
      </c>
      <c r="D22" s="83">
        <f t="shared" si="48"/>
        <v>0</v>
      </c>
      <c r="E22" s="83">
        <f t="shared" ref="E22:J22" si="50">G3+O3+X3+AF3+AN3+AV3+BD3+BL3</f>
        <v>640</v>
      </c>
      <c r="F22" s="83">
        <f t="shared" si="50"/>
        <v>1440</v>
      </c>
      <c r="G22" s="83">
        <f t="shared" si="50"/>
        <v>1440</v>
      </c>
      <c r="H22" s="83">
        <f t="shared" si="50"/>
        <v>1440</v>
      </c>
      <c r="I22" s="83">
        <f t="shared" si="50"/>
        <v>1440</v>
      </c>
      <c r="J22" s="84">
        <f t="shared" si="50"/>
        <v>0</v>
      </c>
    </row>
    <row r="23" spans="1:69">
      <c r="A23" s="43" t="s">
        <v>76</v>
      </c>
      <c r="B23" s="44" t="s">
        <v>79</v>
      </c>
      <c r="C23" s="47">
        <v>1152</v>
      </c>
      <c r="D23" s="83">
        <f t="shared" si="48"/>
        <v>0</v>
      </c>
      <c r="E23" s="83">
        <f t="shared" ref="E23:J23" si="51">G4+O4+X4+AF4+AN4+AV4+BD4+BL4</f>
        <v>192</v>
      </c>
      <c r="F23" s="83">
        <f t="shared" si="51"/>
        <v>240</v>
      </c>
      <c r="G23" s="83">
        <f t="shared" si="51"/>
        <v>240</v>
      </c>
      <c r="H23" s="83">
        <f t="shared" si="51"/>
        <v>240</v>
      </c>
      <c r="I23" s="83">
        <f t="shared" si="51"/>
        <v>240</v>
      </c>
      <c r="J23" s="84">
        <f t="shared" si="51"/>
        <v>0</v>
      </c>
      <c r="N23" s="66"/>
      <c r="O23" s="66"/>
      <c r="P23" s="66"/>
      <c r="Q23" s="66"/>
      <c r="R23" s="66"/>
    </row>
    <row r="24" spans="1:69">
      <c r="A24" s="43" t="s">
        <v>76</v>
      </c>
      <c r="B24" s="44" t="s">
        <v>80</v>
      </c>
      <c r="C24" s="47">
        <v>403</v>
      </c>
      <c r="D24" s="83">
        <f t="shared" si="48"/>
        <v>0</v>
      </c>
      <c r="E24" s="83">
        <f t="shared" ref="E24:J24" si="52">G5+O5+X5+AF5+AN5+AV5+BD5+BL5</f>
        <v>48</v>
      </c>
      <c r="F24" s="83">
        <f t="shared" si="52"/>
        <v>92</v>
      </c>
      <c r="G24" s="83">
        <f t="shared" si="52"/>
        <v>92</v>
      </c>
      <c r="H24" s="83">
        <f t="shared" si="52"/>
        <v>92</v>
      </c>
      <c r="I24" s="83">
        <f t="shared" si="52"/>
        <v>79</v>
      </c>
      <c r="J24" s="84">
        <f t="shared" si="52"/>
        <v>0</v>
      </c>
    </row>
    <row r="25" spans="1:69">
      <c r="A25" s="43" t="s">
        <v>76</v>
      </c>
      <c r="B25" s="44" t="s">
        <v>81</v>
      </c>
      <c r="C25" s="47">
        <v>2400</v>
      </c>
      <c r="D25" s="83">
        <f t="shared" si="48"/>
        <v>0</v>
      </c>
      <c r="E25" s="83">
        <f t="shared" ref="E25:J25" si="53">G6+O6+X6+AF6+AN6+AV6+BD6+BL6</f>
        <v>240</v>
      </c>
      <c r="F25" s="83">
        <f t="shared" si="53"/>
        <v>480</v>
      </c>
      <c r="G25" s="83">
        <f t="shared" si="53"/>
        <v>600</v>
      </c>
      <c r="H25" s="83">
        <f t="shared" si="53"/>
        <v>600</v>
      </c>
      <c r="I25" s="83">
        <f t="shared" si="53"/>
        <v>480</v>
      </c>
      <c r="J25" s="84">
        <f t="shared" si="53"/>
        <v>0</v>
      </c>
    </row>
    <row r="26" spans="1:69">
      <c r="A26" s="43" t="s">
        <v>76</v>
      </c>
      <c r="B26" s="44" t="s">
        <v>82</v>
      </c>
      <c r="C26" s="47">
        <f>C7</f>
        <v>9600</v>
      </c>
      <c r="D26" s="83">
        <f t="shared" si="48"/>
        <v>0</v>
      </c>
      <c r="E26" s="83">
        <f t="shared" ref="E26" si="54">G7+O7+X7+AF7+AN7+AV7+BD7+BL7</f>
        <v>960</v>
      </c>
      <c r="F26" s="83">
        <f t="shared" ref="F26" si="55">H7+P7+Y7+AG7+AO7+AW7+BE7+BM7</f>
        <v>1920</v>
      </c>
      <c r="G26" s="83">
        <f t="shared" ref="G26" si="56">I7+Q7+Z7+AH7+AP7+AX7+BF7+BN7</f>
        <v>2400</v>
      </c>
      <c r="H26" s="83">
        <f t="shared" ref="H26" si="57">J7+R7+AA7+AI7+AQ7+AY7+BG7+BO7</f>
        <v>2400</v>
      </c>
      <c r="I26" s="83">
        <f t="shared" ref="I26" si="58">K7+S7+AB7+AJ7+AR7+AZ7+BH7+BP7</f>
        <v>1920</v>
      </c>
      <c r="J26" s="84">
        <f t="shared" ref="J26" si="59">L7+T7+AC7+AK7+AS7+BA7+BI7+BQ7</f>
        <v>0</v>
      </c>
    </row>
    <row r="27" spans="1:69">
      <c r="A27" s="43" t="s">
        <v>76</v>
      </c>
      <c r="B27" s="44" t="s">
        <v>83</v>
      </c>
      <c r="C27" s="47">
        <v>8</v>
      </c>
      <c r="D27" s="83">
        <f t="shared" ref="D27:D28" si="60">F8+N8+W8+AE8+AM8+AU8+BC8+BK8</f>
        <v>0</v>
      </c>
      <c r="E27" s="83">
        <f t="shared" ref="E27:J27" si="61">G8+O8+X8+AF8+AN8+AV8+BD8+BL8</f>
        <v>0</v>
      </c>
      <c r="F27" s="83">
        <f t="shared" si="61"/>
        <v>0</v>
      </c>
      <c r="G27" s="83">
        <f t="shared" si="61"/>
        <v>8</v>
      </c>
      <c r="H27" s="83">
        <f t="shared" si="61"/>
        <v>0</v>
      </c>
      <c r="I27" s="83">
        <f t="shared" si="61"/>
        <v>0</v>
      </c>
      <c r="J27" s="84">
        <f t="shared" si="61"/>
        <v>0</v>
      </c>
      <c r="K27" s="65"/>
      <c r="N27" s="66"/>
      <c r="O27" s="66"/>
      <c r="P27" s="66"/>
      <c r="Q27" s="66"/>
      <c r="R27" s="66"/>
    </row>
    <row r="28" spans="1:69">
      <c r="A28" s="43" t="s">
        <v>76</v>
      </c>
      <c r="B28" s="44" t="s">
        <v>84</v>
      </c>
      <c r="C28" s="47">
        <f>C9</f>
        <v>5400</v>
      </c>
      <c r="D28" s="83">
        <f t="shared" si="60"/>
        <v>0</v>
      </c>
      <c r="E28" s="83">
        <f t="shared" ref="E28:J28" si="62">G9+O9+X9+AF9+AN9+AV9+BD9+BL9</f>
        <v>0</v>
      </c>
      <c r="F28" s="83">
        <f t="shared" si="62"/>
        <v>0</v>
      </c>
      <c r="G28" s="83">
        <f t="shared" si="62"/>
        <v>1080</v>
      </c>
      <c r="H28" s="83">
        <f t="shared" si="62"/>
        <v>2160</v>
      </c>
      <c r="I28" s="83">
        <f t="shared" si="62"/>
        <v>2160</v>
      </c>
      <c r="J28" s="84">
        <f t="shared" si="62"/>
        <v>0</v>
      </c>
    </row>
    <row r="29" spans="1:69">
      <c r="A29" s="43" t="s">
        <v>85</v>
      </c>
      <c r="B29" s="44" t="s">
        <v>86</v>
      </c>
      <c r="C29" s="47">
        <v>1400</v>
      </c>
      <c r="D29" s="83">
        <f>F10+N10</f>
        <v>0</v>
      </c>
      <c r="E29" s="83">
        <f t="shared" ref="E29:J35" si="63">G10+O10</f>
        <v>184</v>
      </c>
      <c r="F29" s="83">
        <f t="shared" si="63"/>
        <v>322</v>
      </c>
      <c r="G29" s="83">
        <f t="shared" si="63"/>
        <v>322</v>
      </c>
      <c r="H29" s="83">
        <f t="shared" si="63"/>
        <v>322</v>
      </c>
      <c r="I29" s="83">
        <f t="shared" si="63"/>
        <v>250</v>
      </c>
      <c r="J29" s="84">
        <f t="shared" si="63"/>
        <v>0</v>
      </c>
      <c r="N29" s="66"/>
      <c r="O29" s="66"/>
      <c r="P29" s="66"/>
      <c r="Q29" s="66"/>
      <c r="R29" s="66"/>
    </row>
    <row r="30" spans="1:69">
      <c r="A30" s="43" t="s">
        <v>85</v>
      </c>
      <c r="B30" s="44" t="s">
        <v>87</v>
      </c>
      <c r="C30" s="47">
        <v>2690</v>
      </c>
      <c r="D30" s="83">
        <f t="shared" ref="D30:D35" si="64">F11+N11</f>
        <v>0</v>
      </c>
      <c r="E30" s="83">
        <f t="shared" si="63"/>
        <v>288</v>
      </c>
      <c r="F30" s="83">
        <f t="shared" si="63"/>
        <v>600</v>
      </c>
      <c r="G30" s="83">
        <f t="shared" si="63"/>
        <v>600</v>
      </c>
      <c r="H30" s="83">
        <f t="shared" si="63"/>
        <v>600</v>
      </c>
      <c r="I30" s="83">
        <f t="shared" si="63"/>
        <v>602</v>
      </c>
      <c r="J30" s="84">
        <f t="shared" si="63"/>
        <v>0</v>
      </c>
      <c r="K30" s="66"/>
    </row>
    <row r="31" spans="1:69">
      <c r="A31" s="43" t="s">
        <v>85</v>
      </c>
      <c r="B31" s="44" t="s">
        <v>88</v>
      </c>
      <c r="C31" s="47">
        <v>1345</v>
      </c>
      <c r="D31" s="83">
        <f t="shared" si="64"/>
        <v>0</v>
      </c>
      <c r="E31" s="83">
        <f t="shared" si="63"/>
        <v>144</v>
      </c>
      <c r="F31" s="83">
        <f t="shared" si="63"/>
        <v>300</v>
      </c>
      <c r="G31" s="83">
        <f t="shared" si="63"/>
        <v>300</v>
      </c>
      <c r="H31" s="83">
        <f t="shared" si="63"/>
        <v>300</v>
      </c>
      <c r="I31" s="83">
        <f t="shared" si="63"/>
        <v>301</v>
      </c>
      <c r="J31" s="84">
        <f t="shared" si="63"/>
        <v>0</v>
      </c>
      <c r="K31" s="66"/>
    </row>
    <row r="32" spans="1:69">
      <c r="A32" s="43" t="s">
        <v>85</v>
      </c>
      <c r="B32" s="44" t="s">
        <v>89</v>
      </c>
      <c r="C32" s="47">
        <v>140</v>
      </c>
      <c r="D32" s="83">
        <f t="shared" si="64"/>
        <v>0</v>
      </c>
      <c r="E32" s="83">
        <f t="shared" si="63"/>
        <v>14</v>
      </c>
      <c r="F32" s="83">
        <f t="shared" si="63"/>
        <v>32</v>
      </c>
      <c r="G32" s="83">
        <f t="shared" si="63"/>
        <v>32</v>
      </c>
      <c r="H32" s="83">
        <f t="shared" si="63"/>
        <v>32</v>
      </c>
      <c r="I32" s="83">
        <f t="shared" si="63"/>
        <v>30</v>
      </c>
      <c r="J32" s="84">
        <f t="shared" si="63"/>
        <v>0</v>
      </c>
    </row>
    <row r="33" spans="1:10">
      <c r="A33" s="43" t="s">
        <v>85</v>
      </c>
      <c r="B33" s="44" t="s">
        <v>90</v>
      </c>
      <c r="C33" s="47">
        <v>576</v>
      </c>
      <c r="D33" s="83">
        <f t="shared" si="64"/>
        <v>0</v>
      </c>
      <c r="E33" s="83">
        <f t="shared" si="63"/>
        <v>96</v>
      </c>
      <c r="F33" s="83">
        <f t="shared" si="63"/>
        <v>120</v>
      </c>
      <c r="G33" s="83">
        <f t="shared" si="63"/>
        <v>120</v>
      </c>
      <c r="H33" s="83">
        <f t="shared" si="63"/>
        <v>120</v>
      </c>
      <c r="I33" s="83">
        <f t="shared" si="63"/>
        <v>120</v>
      </c>
      <c r="J33" s="84">
        <f t="shared" si="63"/>
        <v>0</v>
      </c>
    </row>
    <row r="34" spans="1:10">
      <c r="A34" s="43" t="s">
        <v>91</v>
      </c>
      <c r="B34" s="44" t="s">
        <v>92</v>
      </c>
      <c r="C34" s="47">
        <v>576</v>
      </c>
      <c r="D34" s="83">
        <f t="shared" si="64"/>
        <v>0</v>
      </c>
      <c r="E34" s="83">
        <f t="shared" si="63"/>
        <v>60</v>
      </c>
      <c r="F34" s="83">
        <f t="shared" si="63"/>
        <v>128</v>
      </c>
      <c r="G34" s="83">
        <f t="shared" si="63"/>
        <v>132</v>
      </c>
      <c r="H34" s="83">
        <f t="shared" si="63"/>
        <v>128</v>
      </c>
      <c r="I34" s="83">
        <f t="shared" si="63"/>
        <v>128</v>
      </c>
      <c r="J34" s="84">
        <f t="shared" si="63"/>
        <v>0</v>
      </c>
    </row>
    <row r="35" spans="1:10" ht="15.75" thickBot="1">
      <c r="A35" s="54" t="s">
        <v>91</v>
      </c>
      <c r="B35" s="55" t="s">
        <v>93</v>
      </c>
      <c r="C35" s="58">
        <v>1728</v>
      </c>
      <c r="D35" s="85">
        <f t="shared" si="64"/>
        <v>0</v>
      </c>
      <c r="E35" s="85">
        <f t="shared" si="63"/>
        <v>180</v>
      </c>
      <c r="F35" s="85">
        <f t="shared" si="63"/>
        <v>384</v>
      </c>
      <c r="G35" s="85">
        <f t="shared" si="63"/>
        <v>396</v>
      </c>
      <c r="H35" s="85">
        <f t="shared" si="63"/>
        <v>384</v>
      </c>
      <c r="I35" s="85">
        <f t="shared" si="63"/>
        <v>384</v>
      </c>
      <c r="J35" s="86">
        <f t="shared" si="63"/>
        <v>0</v>
      </c>
    </row>
  </sheetData>
  <phoneticPr fontId="19"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Z58"/>
  <sheetViews>
    <sheetView zoomScaleNormal="100" workbookViewId="0">
      <pane xSplit="2" ySplit="3" topLeftCell="C44" activePane="bottomRight" state="frozen"/>
      <selection pane="bottomRight" activeCell="I8" sqref="I8"/>
      <selection pane="bottomLeft" activeCell="A39" sqref="A39"/>
      <selection pane="topRight" activeCell="C1" sqref="C1"/>
    </sheetView>
  </sheetViews>
  <sheetFormatPr defaultColWidth="8.7109375" defaultRowHeight="15"/>
  <cols>
    <col min="1" max="1" width="14" customWidth="1"/>
    <col min="2" max="2" width="42" customWidth="1"/>
    <col min="3" max="26" width="10" customWidth="1"/>
  </cols>
  <sheetData>
    <row r="1" spans="1:26" ht="27.75" customHeight="1">
      <c r="A1" s="176" t="s">
        <v>95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row>
    <row r="3" spans="1:26" ht="21.75" customHeight="1">
      <c r="A3" s="177" t="s">
        <v>96</v>
      </c>
      <c r="B3" s="177"/>
      <c r="C3" s="177"/>
      <c r="D3" s="177"/>
      <c r="E3" s="177"/>
      <c r="F3" s="177"/>
      <c r="G3" s="177"/>
      <c r="H3" s="177"/>
      <c r="I3" s="177"/>
      <c r="J3" s="177"/>
      <c r="K3" s="177"/>
      <c r="L3" s="177"/>
      <c r="M3" s="177"/>
      <c r="N3" s="177"/>
      <c r="O3" s="177"/>
      <c r="P3" s="177"/>
      <c r="Q3" s="177"/>
      <c r="R3" s="177"/>
      <c r="S3" s="177"/>
      <c r="T3" s="177"/>
      <c r="U3" s="177"/>
      <c r="V3" s="177"/>
      <c r="W3" s="177"/>
      <c r="X3" s="177"/>
      <c r="Y3" s="177"/>
      <c r="Z3" s="177"/>
    </row>
    <row r="4" spans="1:26" ht="19.5" customHeight="1">
      <c r="A4" s="178" t="s">
        <v>56</v>
      </c>
      <c r="B4" s="178" t="s">
        <v>57</v>
      </c>
      <c r="C4" s="178" t="s">
        <v>97</v>
      </c>
      <c r="D4" s="178"/>
      <c r="E4" s="178"/>
      <c r="F4" s="178" t="s">
        <v>61</v>
      </c>
      <c r="G4" s="178"/>
      <c r="H4" s="178"/>
      <c r="I4" s="178" t="s">
        <v>62</v>
      </c>
      <c r="J4" s="178"/>
      <c r="K4" s="178"/>
      <c r="L4" s="178" t="s">
        <v>63</v>
      </c>
      <c r="M4" s="178"/>
      <c r="N4" s="178"/>
      <c r="O4" s="178" t="s">
        <v>64</v>
      </c>
      <c r="P4" s="178"/>
      <c r="Q4" s="178"/>
      <c r="R4" s="178" t="s">
        <v>65</v>
      </c>
      <c r="S4" s="178"/>
      <c r="T4" s="178"/>
      <c r="U4" s="178" t="s">
        <v>66</v>
      </c>
      <c r="V4" s="178"/>
      <c r="W4" s="178"/>
      <c r="X4" s="178" t="s">
        <v>67</v>
      </c>
      <c r="Y4" s="178"/>
      <c r="Z4" s="178"/>
    </row>
    <row r="5" spans="1:26" ht="21.75" customHeight="1">
      <c r="A5" s="178"/>
      <c r="B5" s="178"/>
      <c r="C5" s="1" t="s">
        <v>98</v>
      </c>
      <c r="D5" s="1" t="s">
        <v>99</v>
      </c>
      <c r="E5" s="1" t="s">
        <v>100</v>
      </c>
      <c r="F5" s="1" t="s">
        <v>98</v>
      </c>
      <c r="G5" s="1" t="s">
        <v>99</v>
      </c>
      <c r="H5" s="1" t="s">
        <v>100</v>
      </c>
      <c r="I5" s="1" t="s">
        <v>98</v>
      </c>
      <c r="J5" s="1" t="s">
        <v>99</v>
      </c>
      <c r="K5" s="1" t="s">
        <v>100</v>
      </c>
      <c r="L5" s="1" t="s">
        <v>98</v>
      </c>
      <c r="M5" s="1" t="s">
        <v>99</v>
      </c>
      <c r="N5" s="1" t="s">
        <v>100</v>
      </c>
      <c r="O5" s="1" t="s">
        <v>98</v>
      </c>
      <c r="P5" s="1" t="s">
        <v>99</v>
      </c>
      <c r="Q5" s="1" t="s">
        <v>100</v>
      </c>
      <c r="R5" s="1" t="s">
        <v>98</v>
      </c>
      <c r="S5" s="1" t="s">
        <v>99</v>
      </c>
      <c r="T5" s="1" t="s">
        <v>100</v>
      </c>
      <c r="U5" s="1" t="s">
        <v>98</v>
      </c>
      <c r="V5" s="1" t="s">
        <v>99</v>
      </c>
      <c r="W5" s="1" t="s">
        <v>100</v>
      </c>
      <c r="X5" s="1" t="s">
        <v>98</v>
      </c>
      <c r="Y5" s="1" t="s">
        <v>99</v>
      </c>
      <c r="Z5" s="1" t="s">
        <v>100</v>
      </c>
    </row>
    <row r="6" spans="1:26">
      <c r="A6" s="67" t="s">
        <v>76</v>
      </c>
      <c r="B6" s="67" t="s">
        <v>77</v>
      </c>
      <c r="C6" s="68">
        <f>'Detalle metas'!E2</f>
        <v>240</v>
      </c>
      <c r="D6" s="68">
        <f t="shared" ref="D6:D20" si="0">SUM(G6,J6,M6,P6,S6,V6,Y6)</f>
        <v>0</v>
      </c>
      <c r="E6" s="69">
        <f t="shared" ref="E6:E20" si="1">IFERROR(D6/C6,0)</f>
        <v>0</v>
      </c>
      <c r="F6" s="70">
        <f>'Detalle metas'!F2</f>
        <v>0</v>
      </c>
      <c r="G6" s="71"/>
      <c r="H6" s="72">
        <f t="shared" ref="H6:H20" si="2">IFERROR(G6/F6,0)</f>
        <v>0</v>
      </c>
      <c r="I6" s="70">
        <f>'Detalle metas'!G2</f>
        <v>24</v>
      </c>
      <c r="J6" s="71"/>
      <c r="K6" s="72">
        <f t="shared" ref="K6:K20" si="3">IFERROR(J6/I6,0)</f>
        <v>0</v>
      </c>
      <c r="L6" s="70">
        <f>'Detalle metas'!H2</f>
        <v>54</v>
      </c>
      <c r="M6" s="71"/>
      <c r="N6" s="72">
        <f t="shared" ref="N6:N20" si="4">IFERROR(M6/L6,0)</f>
        <v>0</v>
      </c>
      <c r="O6" s="70">
        <f>'Detalle metas'!I2</f>
        <v>54</v>
      </c>
      <c r="P6" s="71"/>
      <c r="Q6" s="72">
        <f t="shared" ref="Q6:Q20" si="5">IFERROR(P6/O6,0)</f>
        <v>0</v>
      </c>
      <c r="R6" s="70">
        <f>'Detalle metas'!J2</f>
        <v>54</v>
      </c>
      <c r="S6" s="71"/>
      <c r="T6" s="72">
        <f t="shared" ref="T6:T20" si="6">IFERROR(S6/R6,0)</f>
        <v>0</v>
      </c>
      <c r="U6" s="70">
        <f>'Detalle metas'!K2</f>
        <v>54</v>
      </c>
      <c r="V6" s="71"/>
      <c r="W6" s="72">
        <f t="shared" ref="W6:W20" si="7">IFERROR(V6/U6,0)</f>
        <v>0</v>
      </c>
      <c r="X6" s="70">
        <f>'Detalle metas'!L2</f>
        <v>0</v>
      </c>
      <c r="Y6" s="71"/>
      <c r="Z6" s="72">
        <f t="shared" ref="Z6:Z20" si="8">IFERROR(Y6/X6,0)</f>
        <v>0</v>
      </c>
    </row>
    <row r="7" spans="1:26">
      <c r="A7" s="67" t="s">
        <v>76</v>
      </c>
      <c r="B7" s="67" t="s">
        <v>78</v>
      </c>
      <c r="C7" s="68">
        <f>'Detalle metas'!E3</f>
        <v>960</v>
      </c>
      <c r="D7" s="68">
        <f t="shared" si="0"/>
        <v>0</v>
      </c>
      <c r="E7" s="69">
        <f t="shared" si="1"/>
        <v>0</v>
      </c>
      <c r="F7" s="70">
        <f>'Detalle metas'!F3</f>
        <v>0</v>
      </c>
      <c r="G7" s="71"/>
      <c r="H7" s="72">
        <f t="shared" si="2"/>
        <v>0</v>
      </c>
      <c r="I7" s="70">
        <f>'Detalle metas'!G3</f>
        <v>96</v>
      </c>
      <c r="J7" s="71"/>
      <c r="K7" s="72">
        <f t="shared" si="3"/>
        <v>0</v>
      </c>
      <c r="L7" s="70">
        <f>'Detalle metas'!H3</f>
        <v>216</v>
      </c>
      <c r="M7" s="71"/>
      <c r="N7" s="72">
        <f t="shared" si="4"/>
        <v>0</v>
      </c>
      <c r="O7" s="70">
        <f>'Detalle metas'!I3</f>
        <v>216</v>
      </c>
      <c r="P7" s="71"/>
      <c r="Q7" s="72">
        <f t="shared" si="5"/>
        <v>0</v>
      </c>
      <c r="R7" s="70">
        <f>'Detalle metas'!J3</f>
        <v>216</v>
      </c>
      <c r="S7" s="71"/>
      <c r="T7" s="72">
        <f t="shared" si="6"/>
        <v>0</v>
      </c>
      <c r="U7" s="70">
        <f>'Detalle metas'!K3</f>
        <v>216</v>
      </c>
      <c r="V7" s="71"/>
      <c r="W7" s="72">
        <f t="shared" si="7"/>
        <v>0</v>
      </c>
      <c r="X7" s="70">
        <f>'Detalle metas'!L3</f>
        <v>0</v>
      </c>
      <c r="Y7" s="71"/>
      <c r="Z7" s="72">
        <f t="shared" si="8"/>
        <v>0</v>
      </c>
    </row>
    <row r="8" spans="1:26">
      <c r="A8" s="67" t="s">
        <v>76</v>
      </c>
      <c r="B8" s="67" t="s">
        <v>79</v>
      </c>
      <c r="C8" s="68">
        <f>'Detalle metas'!E4</f>
        <v>288</v>
      </c>
      <c r="D8" s="68">
        <f t="shared" si="0"/>
        <v>0</v>
      </c>
      <c r="E8" s="69">
        <f t="shared" si="1"/>
        <v>0</v>
      </c>
      <c r="F8" s="70">
        <f>'Detalle metas'!F4</f>
        <v>0</v>
      </c>
      <c r="G8" s="71"/>
      <c r="H8" s="72">
        <f t="shared" si="2"/>
        <v>0</v>
      </c>
      <c r="I8" s="70">
        <f>'Detalle metas'!G4</f>
        <v>48</v>
      </c>
      <c r="J8" s="71"/>
      <c r="K8" s="72">
        <f t="shared" si="3"/>
        <v>0</v>
      </c>
      <c r="L8" s="70">
        <f>'Detalle metas'!H4</f>
        <v>60</v>
      </c>
      <c r="M8" s="71"/>
      <c r="N8" s="72">
        <f t="shared" si="4"/>
        <v>0</v>
      </c>
      <c r="O8" s="70">
        <f>'Detalle metas'!I4</f>
        <v>60</v>
      </c>
      <c r="P8" s="71"/>
      <c r="Q8" s="72">
        <f t="shared" si="5"/>
        <v>0</v>
      </c>
      <c r="R8" s="70">
        <f>'Detalle metas'!J4</f>
        <v>60</v>
      </c>
      <c r="S8" s="71"/>
      <c r="T8" s="72">
        <f t="shared" si="6"/>
        <v>0</v>
      </c>
      <c r="U8" s="70">
        <f>'Detalle metas'!K4</f>
        <v>60</v>
      </c>
      <c r="V8" s="71"/>
      <c r="W8" s="72">
        <f t="shared" si="7"/>
        <v>0</v>
      </c>
      <c r="X8" s="70">
        <f>'Detalle metas'!L4</f>
        <v>0</v>
      </c>
      <c r="Y8" s="71"/>
      <c r="Z8" s="72">
        <f t="shared" si="8"/>
        <v>0</v>
      </c>
    </row>
    <row r="9" spans="1:26">
      <c r="A9" s="67" t="s">
        <v>76</v>
      </c>
      <c r="B9" s="67" t="s">
        <v>80</v>
      </c>
      <c r="C9" s="68">
        <f>'Detalle metas'!E5</f>
        <v>115</v>
      </c>
      <c r="D9" s="68">
        <f t="shared" si="0"/>
        <v>0</v>
      </c>
      <c r="E9" s="69">
        <f t="shared" si="1"/>
        <v>0</v>
      </c>
      <c r="F9" s="70">
        <f>'Detalle metas'!F5</f>
        <v>0</v>
      </c>
      <c r="G9" s="71"/>
      <c r="H9" s="72">
        <f t="shared" si="2"/>
        <v>0</v>
      </c>
      <c r="I9" s="70">
        <f>'Detalle metas'!G5</f>
        <v>15</v>
      </c>
      <c r="J9" s="71"/>
      <c r="K9" s="72">
        <f t="shared" si="3"/>
        <v>0</v>
      </c>
      <c r="L9" s="70">
        <f>'Detalle metas'!H5</f>
        <v>25</v>
      </c>
      <c r="M9" s="71"/>
      <c r="N9" s="72">
        <f t="shared" si="4"/>
        <v>0</v>
      </c>
      <c r="O9" s="70">
        <f>'Detalle metas'!I5</f>
        <v>25</v>
      </c>
      <c r="P9" s="71"/>
      <c r="Q9" s="72">
        <f t="shared" si="5"/>
        <v>0</v>
      </c>
      <c r="R9" s="70">
        <f>'Detalle metas'!J5</f>
        <v>25</v>
      </c>
      <c r="S9" s="71"/>
      <c r="T9" s="72">
        <f t="shared" si="6"/>
        <v>0</v>
      </c>
      <c r="U9" s="70">
        <f>'Detalle metas'!K5</f>
        <v>25</v>
      </c>
      <c r="V9" s="71"/>
      <c r="W9" s="72">
        <f t="shared" si="7"/>
        <v>0</v>
      </c>
      <c r="X9" s="70">
        <f>'Detalle metas'!L5</f>
        <v>0</v>
      </c>
      <c r="Y9" s="71"/>
      <c r="Z9" s="72">
        <f t="shared" si="8"/>
        <v>0</v>
      </c>
    </row>
    <row r="10" spans="1:26">
      <c r="A10" s="67" t="s">
        <v>76</v>
      </c>
      <c r="B10" s="67" t="s">
        <v>81</v>
      </c>
      <c r="C10" s="68">
        <f>'Detalle metas'!E6</f>
        <v>300</v>
      </c>
      <c r="D10" s="68">
        <f t="shared" si="0"/>
        <v>0</v>
      </c>
      <c r="E10" s="69">
        <f t="shared" si="1"/>
        <v>0</v>
      </c>
      <c r="F10" s="70">
        <f>'Detalle metas'!F6</f>
        <v>0</v>
      </c>
      <c r="G10" s="71"/>
      <c r="H10" s="72">
        <f t="shared" si="2"/>
        <v>0</v>
      </c>
      <c r="I10" s="70">
        <f>'Detalle metas'!G6</f>
        <v>30</v>
      </c>
      <c r="J10" s="71"/>
      <c r="K10" s="72">
        <f t="shared" si="3"/>
        <v>0</v>
      </c>
      <c r="L10" s="70">
        <f>'Detalle metas'!H6</f>
        <v>60</v>
      </c>
      <c r="M10" s="71"/>
      <c r="N10" s="72">
        <f t="shared" si="4"/>
        <v>0</v>
      </c>
      <c r="O10" s="70">
        <f>'Detalle metas'!I6</f>
        <v>75</v>
      </c>
      <c r="P10" s="71"/>
      <c r="Q10" s="72">
        <f t="shared" si="5"/>
        <v>0</v>
      </c>
      <c r="R10" s="70">
        <f>'Detalle metas'!J6</f>
        <v>75</v>
      </c>
      <c r="S10" s="71"/>
      <c r="T10" s="72">
        <f t="shared" si="6"/>
        <v>0</v>
      </c>
      <c r="U10" s="70">
        <f>'Detalle metas'!K6</f>
        <v>60</v>
      </c>
      <c r="V10" s="71"/>
      <c r="W10" s="72">
        <f t="shared" si="7"/>
        <v>0</v>
      </c>
      <c r="X10" s="70">
        <f>'Detalle metas'!L6</f>
        <v>0</v>
      </c>
      <c r="Y10" s="71"/>
      <c r="Z10" s="72">
        <f t="shared" si="8"/>
        <v>0</v>
      </c>
    </row>
    <row r="11" spans="1:26">
      <c r="A11" s="67" t="s">
        <v>76</v>
      </c>
      <c r="B11" s="67" t="s">
        <v>82</v>
      </c>
      <c r="C11" s="68">
        <f>'Detalle metas'!E7</f>
        <v>1200</v>
      </c>
      <c r="D11" s="68">
        <f t="shared" si="0"/>
        <v>0</v>
      </c>
      <c r="E11" s="69">
        <f t="shared" si="1"/>
        <v>0</v>
      </c>
      <c r="F11" s="70">
        <f>'Detalle metas'!F7</f>
        <v>0</v>
      </c>
      <c r="G11" s="71"/>
      <c r="H11" s="72">
        <f t="shared" si="2"/>
        <v>0</v>
      </c>
      <c r="I11" s="70">
        <f>'Detalle metas'!G7</f>
        <v>120</v>
      </c>
      <c r="J11" s="71">
        <f>J10*4</f>
        <v>0</v>
      </c>
      <c r="K11" s="72">
        <f t="shared" si="3"/>
        <v>0</v>
      </c>
      <c r="L11" s="70">
        <f>'Detalle metas'!H7</f>
        <v>240</v>
      </c>
      <c r="M11" s="71">
        <f>M10*4</f>
        <v>0</v>
      </c>
      <c r="N11" s="72">
        <f t="shared" si="4"/>
        <v>0</v>
      </c>
      <c r="O11" s="70">
        <f>'Detalle metas'!I7</f>
        <v>300</v>
      </c>
      <c r="P11" s="71">
        <f>P10*4</f>
        <v>0</v>
      </c>
      <c r="Q11" s="72">
        <f t="shared" si="5"/>
        <v>0</v>
      </c>
      <c r="R11" s="70">
        <f>'Detalle metas'!J7</f>
        <v>300</v>
      </c>
      <c r="S11" s="71">
        <f>S10*4</f>
        <v>0</v>
      </c>
      <c r="T11" s="72">
        <f t="shared" si="6"/>
        <v>0</v>
      </c>
      <c r="U11" s="70">
        <f>'Detalle metas'!K7</f>
        <v>240</v>
      </c>
      <c r="V11" s="71">
        <f>V10*4</f>
        <v>0</v>
      </c>
      <c r="W11" s="72">
        <f t="shared" si="7"/>
        <v>0</v>
      </c>
      <c r="X11" s="70"/>
      <c r="Y11" s="71"/>
      <c r="Z11" s="72">
        <f t="shared" si="8"/>
        <v>0</v>
      </c>
    </row>
    <row r="12" spans="1:26">
      <c r="A12" s="67" t="s">
        <v>76</v>
      </c>
      <c r="B12" s="67" t="s">
        <v>83</v>
      </c>
      <c r="C12" s="68">
        <f>'Detalle metas'!E8</f>
        <v>1</v>
      </c>
      <c r="D12" s="68">
        <f t="shared" si="0"/>
        <v>0</v>
      </c>
      <c r="E12" s="69">
        <f t="shared" si="1"/>
        <v>0</v>
      </c>
      <c r="F12" s="70">
        <f>'Detalle metas'!F8</f>
        <v>0</v>
      </c>
      <c r="G12" s="71"/>
      <c r="H12" s="72">
        <f t="shared" si="2"/>
        <v>0</v>
      </c>
      <c r="I12" s="70">
        <f>'Detalle metas'!G8</f>
        <v>0</v>
      </c>
      <c r="J12" s="71"/>
      <c r="K12" s="72">
        <f t="shared" si="3"/>
        <v>0</v>
      </c>
      <c r="L12" s="70">
        <f>'Detalle metas'!H8</f>
        <v>0</v>
      </c>
      <c r="M12" s="71"/>
      <c r="N12" s="72">
        <f t="shared" si="4"/>
        <v>0</v>
      </c>
      <c r="O12" s="70">
        <f>'Detalle metas'!I8</f>
        <v>1</v>
      </c>
      <c r="P12" s="71"/>
      <c r="Q12" s="72">
        <f t="shared" si="5"/>
        <v>0</v>
      </c>
      <c r="R12" s="70">
        <f>'Detalle metas'!J8</f>
        <v>0</v>
      </c>
      <c r="S12" s="71"/>
      <c r="T12" s="72">
        <f t="shared" si="6"/>
        <v>0</v>
      </c>
      <c r="U12" s="70">
        <f>'Detalle metas'!K8</f>
        <v>0</v>
      </c>
      <c r="V12" s="71"/>
      <c r="W12" s="72">
        <f t="shared" si="7"/>
        <v>0</v>
      </c>
      <c r="X12" s="70">
        <f>'Detalle metas'!L8</f>
        <v>0</v>
      </c>
      <c r="Y12" s="71"/>
      <c r="Z12" s="72">
        <f t="shared" si="8"/>
        <v>0</v>
      </c>
    </row>
    <row r="13" spans="1:26">
      <c r="A13" s="67" t="s">
        <v>76</v>
      </c>
      <c r="B13" s="67" t="s">
        <v>84</v>
      </c>
      <c r="C13" s="68">
        <f>'Detalle metas'!E9</f>
        <v>900</v>
      </c>
      <c r="D13" s="68">
        <f t="shared" si="0"/>
        <v>0</v>
      </c>
      <c r="E13" s="69">
        <f t="shared" si="1"/>
        <v>0</v>
      </c>
      <c r="F13" s="70">
        <f>'Detalle metas'!F9</f>
        <v>0</v>
      </c>
      <c r="G13" s="71"/>
      <c r="H13" s="72">
        <f t="shared" si="2"/>
        <v>0</v>
      </c>
      <c r="I13" s="70">
        <f>'Detalle metas'!G9</f>
        <v>0</v>
      </c>
      <c r="J13" s="71"/>
      <c r="K13" s="72">
        <f t="shared" si="3"/>
        <v>0</v>
      </c>
      <c r="L13" s="70">
        <f>'Detalle metas'!H9</f>
        <v>0</v>
      </c>
      <c r="M13" s="71"/>
      <c r="N13" s="72">
        <f t="shared" si="4"/>
        <v>0</v>
      </c>
      <c r="O13" s="70">
        <f>'Detalle metas'!I9</f>
        <v>180</v>
      </c>
      <c r="P13" s="71"/>
      <c r="Q13" s="72">
        <f t="shared" si="5"/>
        <v>0</v>
      </c>
      <c r="R13" s="70">
        <f>'Detalle metas'!J9</f>
        <v>360</v>
      </c>
      <c r="S13" s="71"/>
      <c r="T13" s="72">
        <f t="shared" si="6"/>
        <v>0</v>
      </c>
      <c r="U13" s="70">
        <f>'Detalle metas'!K9</f>
        <v>360</v>
      </c>
      <c r="V13" s="71"/>
      <c r="W13" s="72">
        <f t="shared" si="7"/>
        <v>0</v>
      </c>
      <c r="X13" s="70">
        <f>'Detalle metas'!L9</f>
        <v>0</v>
      </c>
      <c r="Y13" s="71"/>
      <c r="Z13" s="72">
        <f t="shared" si="8"/>
        <v>0</v>
      </c>
    </row>
    <row r="14" spans="1:26">
      <c r="A14" s="67" t="s">
        <v>85</v>
      </c>
      <c r="B14" s="67" t="s">
        <v>101</v>
      </c>
      <c r="C14" s="68">
        <f>'Detalle metas'!E10</f>
        <v>700</v>
      </c>
      <c r="D14" s="68">
        <f t="shared" si="0"/>
        <v>0</v>
      </c>
      <c r="E14" s="69">
        <f t="shared" si="1"/>
        <v>0</v>
      </c>
      <c r="F14" s="70">
        <f>'Detalle metas'!F10</f>
        <v>0</v>
      </c>
      <c r="G14" s="71"/>
      <c r="H14" s="72">
        <f t="shared" si="2"/>
        <v>0</v>
      </c>
      <c r="I14" s="70">
        <f>'Detalle metas'!G10</f>
        <v>92</v>
      </c>
      <c r="J14" s="71"/>
      <c r="K14" s="72">
        <f t="shared" si="3"/>
        <v>0</v>
      </c>
      <c r="L14" s="70">
        <f>'Detalle metas'!H10</f>
        <v>161</v>
      </c>
      <c r="M14" s="71"/>
      <c r="N14" s="72">
        <f t="shared" si="4"/>
        <v>0</v>
      </c>
      <c r="O14" s="70">
        <f>'Detalle metas'!I10</f>
        <v>161</v>
      </c>
      <c r="P14" s="71"/>
      <c r="Q14" s="72">
        <f t="shared" si="5"/>
        <v>0</v>
      </c>
      <c r="R14" s="70">
        <f>'Detalle metas'!J10</f>
        <v>161</v>
      </c>
      <c r="S14" s="71"/>
      <c r="T14" s="72">
        <f t="shared" si="6"/>
        <v>0</v>
      </c>
      <c r="U14" s="70">
        <f>'Detalle metas'!K10</f>
        <v>125</v>
      </c>
      <c r="V14" s="71"/>
      <c r="W14" s="72">
        <f t="shared" si="7"/>
        <v>0</v>
      </c>
      <c r="X14" s="70">
        <f>'Detalle metas'!L10</f>
        <v>0</v>
      </c>
      <c r="Y14" s="71"/>
      <c r="Z14" s="72">
        <f t="shared" si="8"/>
        <v>0</v>
      </c>
    </row>
    <row r="15" spans="1:26">
      <c r="A15" s="67" t="s">
        <v>85</v>
      </c>
      <c r="B15" s="67" t="s">
        <v>87</v>
      </c>
      <c r="C15" s="68">
        <f>'Detalle metas'!E11</f>
        <v>1345</v>
      </c>
      <c r="D15" s="68">
        <f t="shared" si="0"/>
        <v>0</v>
      </c>
      <c r="E15" s="69">
        <f t="shared" si="1"/>
        <v>0</v>
      </c>
      <c r="F15" s="70">
        <f>'Detalle metas'!F11</f>
        <v>0</v>
      </c>
      <c r="G15" s="71"/>
      <c r="H15" s="72">
        <f t="shared" si="2"/>
        <v>0</v>
      </c>
      <c r="I15" s="70">
        <f>'Detalle metas'!G11</f>
        <v>144</v>
      </c>
      <c r="J15" s="71"/>
      <c r="K15" s="72">
        <f t="shared" si="3"/>
        <v>0</v>
      </c>
      <c r="L15" s="70">
        <f>'Detalle metas'!H11</f>
        <v>300</v>
      </c>
      <c r="M15" s="71"/>
      <c r="N15" s="72">
        <f t="shared" si="4"/>
        <v>0</v>
      </c>
      <c r="O15" s="70">
        <f>'Detalle metas'!I11</f>
        <v>300</v>
      </c>
      <c r="P15" s="71"/>
      <c r="Q15" s="72">
        <f t="shared" si="5"/>
        <v>0</v>
      </c>
      <c r="R15" s="70">
        <f>'Detalle metas'!J11</f>
        <v>300</v>
      </c>
      <c r="S15" s="71"/>
      <c r="T15" s="72">
        <f t="shared" si="6"/>
        <v>0</v>
      </c>
      <c r="U15" s="70">
        <f>'Detalle metas'!K11</f>
        <v>301</v>
      </c>
      <c r="V15" s="71"/>
      <c r="W15" s="72">
        <f t="shared" si="7"/>
        <v>0</v>
      </c>
      <c r="X15" s="70">
        <f>'Detalle metas'!L11</f>
        <v>0</v>
      </c>
      <c r="Y15" s="71"/>
      <c r="Z15" s="72">
        <f t="shared" si="8"/>
        <v>0</v>
      </c>
    </row>
    <row r="16" spans="1:26">
      <c r="A16" s="67" t="s">
        <v>85</v>
      </c>
      <c r="B16" s="67" t="s">
        <v>88</v>
      </c>
      <c r="C16" s="68">
        <f>'Detalle metas'!E12</f>
        <v>673</v>
      </c>
      <c r="D16" s="68">
        <f t="shared" si="0"/>
        <v>0</v>
      </c>
      <c r="E16" s="69">
        <f t="shared" si="1"/>
        <v>0</v>
      </c>
      <c r="F16" s="70">
        <f>'Detalle metas'!F12</f>
        <v>0</v>
      </c>
      <c r="G16" s="71"/>
      <c r="H16" s="72">
        <f t="shared" si="2"/>
        <v>0</v>
      </c>
      <c r="I16" s="70">
        <f>'Detalle metas'!G12</f>
        <v>72</v>
      </c>
      <c r="J16" s="71"/>
      <c r="K16" s="72">
        <f t="shared" si="3"/>
        <v>0</v>
      </c>
      <c r="L16" s="70">
        <f>'Detalle metas'!H12</f>
        <v>150</v>
      </c>
      <c r="M16" s="71"/>
      <c r="N16" s="72">
        <f t="shared" si="4"/>
        <v>0</v>
      </c>
      <c r="O16" s="70">
        <f>'Detalle metas'!I12</f>
        <v>150</v>
      </c>
      <c r="P16" s="71"/>
      <c r="Q16" s="72">
        <f t="shared" si="5"/>
        <v>0</v>
      </c>
      <c r="R16" s="70">
        <f>'Detalle metas'!J12</f>
        <v>150</v>
      </c>
      <c r="S16" s="71"/>
      <c r="T16" s="72">
        <f t="shared" si="6"/>
        <v>0</v>
      </c>
      <c r="U16" s="70">
        <f>'Detalle metas'!K12</f>
        <v>151</v>
      </c>
      <c r="V16" s="71"/>
      <c r="W16" s="72">
        <f t="shared" si="7"/>
        <v>0</v>
      </c>
      <c r="X16" s="70">
        <f>'Detalle metas'!L12</f>
        <v>0</v>
      </c>
      <c r="Y16" s="71"/>
      <c r="Z16" s="72">
        <f t="shared" si="8"/>
        <v>0</v>
      </c>
    </row>
    <row r="17" spans="1:26">
      <c r="A17" s="67" t="s">
        <v>85</v>
      </c>
      <c r="B17" s="67" t="s">
        <v>89</v>
      </c>
      <c r="C17" s="68">
        <f>'Detalle metas'!E13</f>
        <v>70</v>
      </c>
      <c r="D17" s="68">
        <f t="shared" si="0"/>
        <v>0</v>
      </c>
      <c r="E17" s="69">
        <f t="shared" si="1"/>
        <v>0</v>
      </c>
      <c r="F17" s="70">
        <f>'Detalle metas'!F13</f>
        <v>0</v>
      </c>
      <c r="G17" s="71"/>
      <c r="H17" s="72">
        <f t="shared" si="2"/>
        <v>0</v>
      </c>
      <c r="I17" s="70">
        <f>'Detalle metas'!G13</f>
        <v>7</v>
      </c>
      <c r="J17" s="71"/>
      <c r="K17" s="72">
        <f t="shared" si="3"/>
        <v>0</v>
      </c>
      <c r="L17" s="70">
        <f>'Detalle metas'!H13</f>
        <v>16</v>
      </c>
      <c r="M17" s="71"/>
      <c r="N17" s="72">
        <f t="shared" si="4"/>
        <v>0</v>
      </c>
      <c r="O17" s="70">
        <f>'Detalle metas'!I13</f>
        <v>16</v>
      </c>
      <c r="P17" s="71"/>
      <c r="Q17" s="72">
        <f t="shared" si="5"/>
        <v>0</v>
      </c>
      <c r="R17" s="70">
        <f>'Detalle metas'!J13</f>
        <v>16</v>
      </c>
      <c r="S17" s="71"/>
      <c r="T17" s="72">
        <f t="shared" si="6"/>
        <v>0</v>
      </c>
      <c r="U17" s="70">
        <f>'Detalle metas'!K13</f>
        <v>15</v>
      </c>
      <c r="V17" s="71"/>
      <c r="W17" s="72">
        <f t="shared" si="7"/>
        <v>0</v>
      </c>
      <c r="X17" s="70">
        <f>'Detalle metas'!L13</f>
        <v>0</v>
      </c>
      <c r="Y17" s="71"/>
      <c r="Z17" s="72">
        <f t="shared" si="8"/>
        <v>0</v>
      </c>
    </row>
    <row r="18" spans="1:26">
      <c r="A18" s="67" t="s">
        <v>85</v>
      </c>
      <c r="B18" s="67" t="s">
        <v>90</v>
      </c>
      <c r="C18" s="68">
        <f>'Detalle metas'!E14</f>
        <v>288</v>
      </c>
      <c r="D18" s="68">
        <f t="shared" si="0"/>
        <v>0</v>
      </c>
      <c r="E18" s="69">
        <f t="shared" si="1"/>
        <v>0</v>
      </c>
      <c r="F18" s="70">
        <f>'Detalle metas'!F14</f>
        <v>0</v>
      </c>
      <c r="G18" s="71"/>
      <c r="H18" s="72">
        <f t="shared" si="2"/>
        <v>0</v>
      </c>
      <c r="I18" s="70">
        <f>'Detalle metas'!G14</f>
        <v>48</v>
      </c>
      <c r="J18" s="71" t="s">
        <v>102</v>
      </c>
      <c r="K18" s="72">
        <f t="shared" si="3"/>
        <v>0</v>
      </c>
      <c r="L18" s="70">
        <f>'Detalle metas'!H14</f>
        <v>60</v>
      </c>
      <c r="M18" s="71"/>
      <c r="N18" s="72">
        <f t="shared" si="4"/>
        <v>0</v>
      </c>
      <c r="O18" s="70">
        <f>'Detalle metas'!I14</f>
        <v>60</v>
      </c>
      <c r="P18" s="71"/>
      <c r="Q18" s="72">
        <f t="shared" si="5"/>
        <v>0</v>
      </c>
      <c r="R18" s="70">
        <f>'Detalle metas'!J14</f>
        <v>60</v>
      </c>
      <c r="S18" s="71"/>
      <c r="T18" s="72">
        <f t="shared" si="6"/>
        <v>0</v>
      </c>
      <c r="U18" s="70">
        <f>'Detalle metas'!K14</f>
        <v>60</v>
      </c>
      <c r="V18" s="71"/>
      <c r="W18" s="72">
        <f t="shared" si="7"/>
        <v>0</v>
      </c>
      <c r="X18" s="70">
        <f>'Detalle metas'!L14</f>
        <v>0</v>
      </c>
      <c r="Y18" s="71"/>
      <c r="Z18" s="72">
        <f t="shared" si="8"/>
        <v>0</v>
      </c>
    </row>
    <row r="19" spans="1:26">
      <c r="A19" s="67" t="s">
        <v>91</v>
      </c>
      <c r="B19" s="67" t="s">
        <v>92</v>
      </c>
      <c r="C19" s="68">
        <f>'Detalle metas'!E15</f>
        <v>288</v>
      </c>
      <c r="D19" s="68">
        <f t="shared" si="0"/>
        <v>0</v>
      </c>
      <c r="E19" s="69">
        <f t="shared" si="1"/>
        <v>0</v>
      </c>
      <c r="F19" s="70">
        <f>'Detalle metas'!F15</f>
        <v>0</v>
      </c>
      <c r="G19" s="71"/>
      <c r="H19" s="72">
        <f t="shared" si="2"/>
        <v>0</v>
      </c>
      <c r="I19" s="70">
        <f>'Detalle metas'!G15</f>
        <v>30</v>
      </c>
      <c r="J19" s="71"/>
      <c r="K19" s="72">
        <f t="shared" si="3"/>
        <v>0</v>
      </c>
      <c r="L19" s="70">
        <f>'Detalle metas'!H15</f>
        <v>64</v>
      </c>
      <c r="M19" s="71"/>
      <c r="N19" s="72">
        <f t="shared" si="4"/>
        <v>0</v>
      </c>
      <c r="O19" s="70">
        <f>'Detalle metas'!I15</f>
        <v>66</v>
      </c>
      <c r="P19" s="71"/>
      <c r="Q19" s="72">
        <f t="shared" si="5"/>
        <v>0</v>
      </c>
      <c r="R19" s="70">
        <f>'Detalle metas'!J15</f>
        <v>64</v>
      </c>
      <c r="S19" s="71"/>
      <c r="T19" s="72">
        <f t="shared" si="6"/>
        <v>0</v>
      </c>
      <c r="U19" s="70">
        <f>'Detalle metas'!K15</f>
        <v>64</v>
      </c>
      <c r="V19" s="71"/>
      <c r="W19" s="72">
        <f t="shared" si="7"/>
        <v>0</v>
      </c>
      <c r="X19" s="70">
        <f>'Detalle metas'!L15</f>
        <v>0</v>
      </c>
      <c r="Y19" s="71"/>
      <c r="Z19" s="72">
        <f t="shared" si="8"/>
        <v>0</v>
      </c>
    </row>
    <row r="20" spans="1:26" ht="25.5" customHeight="1">
      <c r="A20" s="67" t="s">
        <v>91</v>
      </c>
      <c r="B20" s="67" t="s">
        <v>93</v>
      </c>
      <c r="C20" s="68">
        <f>'Detalle metas'!E16</f>
        <v>864</v>
      </c>
      <c r="D20" s="68">
        <f t="shared" si="0"/>
        <v>0</v>
      </c>
      <c r="E20" s="69">
        <f t="shared" si="1"/>
        <v>0</v>
      </c>
      <c r="F20" s="70">
        <f>'Detalle metas'!F16</f>
        <v>0</v>
      </c>
      <c r="G20" s="71"/>
      <c r="H20" s="72">
        <f t="shared" si="2"/>
        <v>0</v>
      </c>
      <c r="I20" s="70">
        <f>'Detalle metas'!G16</f>
        <v>90</v>
      </c>
      <c r="J20" s="71"/>
      <c r="K20" s="72">
        <f t="shared" si="3"/>
        <v>0</v>
      </c>
      <c r="L20" s="70">
        <f>'Detalle metas'!H16</f>
        <v>192</v>
      </c>
      <c r="M20" s="71"/>
      <c r="N20" s="72">
        <f t="shared" si="4"/>
        <v>0</v>
      </c>
      <c r="O20" s="70">
        <f>'Detalle metas'!I16</f>
        <v>198</v>
      </c>
      <c r="P20" s="71"/>
      <c r="Q20" s="72">
        <f t="shared" si="5"/>
        <v>0</v>
      </c>
      <c r="R20" s="70">
        <f>'Detalle metas'!J16</f>
        <v>192</v>
      </c>
      <c r="S20" s="71"/>
      <c r="T20" s="72">
        <f t="shared" si="6"/>
        <v>0</v>
      </c>
      <c r="U20" s="70">
        <f>'Detalle metas'!K16</f>
        <v>192</v>
      </c>
      <c r="V20" s="71"/>
      <c r="W20" s="72">
        <f t="shared" si="7"/>
        <v>0</v>
      </c>
      <c r="X20" s="70">
        <f>'Detalle metas'!L16</f>
        <v>0</v>
      </c>
      <c r="Y20" s="71"/>
      <c r="Z20" s="72">
        <f t="shared" si="8"/>
        <v>0</v>
      </c>
    </row>
    <row r="22" spans="1:26" ht="21.75" customHeight="1">
      <c r="A22" s="177" t="s">
        <v>103</v>
      </c>
      <c r="B22" s="177"/>
      <c r="C22" s="177"/>
      <c r="D22" s="177"/>
      <c r="E22" s="177"/>
      <c r="F22" s="177"/>
      <c r="G22" s="177"/>
      <c r="H22" s="177"/>
      <c r="I22" s="177"/>
      <c r="J22" s="177"/>
      <c r="K22" s="177"/>
      <c r="L22" s="177"/>
      <c r="M22" s="177"/>
      <c r="N22" s="177"/>
      <c r="O22" s="177"/>
      <c r="P22" s="177"/>
      <c r="Q22" s="177"/>
      <c r="R22" s="177"/>
      <c r="S22" s="177"/>
      <c r="T22" s="177"/>
      <c r="U22" s="177"/>
      <c r="V22" s="177"/>
      <c r="W22" s="177"/>
      <c r="X22" s="177"/>
      <c r="Y22" s="177"/>
      <c r="Z22" s="177"/>
    </row>
    <row r="23" spans="1:26" ht="19.5" customHeight="1">
      <c r="A23" s="178" t="s">
        <v>56</v>
      </c>
      <c r="B23" s="178" t="s">
        <v>57</v>
      </c>
      <c r="C23" s="178" t="s">
        <v>97</v>
      </c>
      <c r="D23" s="178"/>
      <c r="E23" s="178"/>
      <c r="F23" s="178" t="s">
        <v>61</v>
      </c>
      <c r="G23" s="178"/>
      <c r="H23" s="178"/>
      <c r="I23" s="178" t="s">
        <v>62</v>
      </c>
      <c r="J23" s="178"/>
      <c r="K23" s="178"/>
      <c r="L23" s="178" t="s">
        <v>63</v>
      </c>
      <c r="M23" s="178"/>
      <c r="N23" s="178"/>
      <c r="O23" s="178" t="s">
        <v>64</v>
      </c>
      <c r="P23" s="178"/>
      <c r="Q23" s="178"/>
      <c r="R23" s="178" t="s">
        <v>65</v>
      </c>
      <c r="S23" s="178"/>
      <c r="T23" s="178"/>
      <c r="U23" s="178" t="s">
        <v>66</v>
      </c>
      <c r="V23" s="178"/>
      <c r="W23" s="178"/>
      <c r="X23" s="178" t="s">
        <v>67</v>
      </c>
      <c r="Y23" s="178"/>
      <c r="Z23" s="178"/>
    </row>
    <row r="24" spans="1:26" ht="21.75" customHeight="1">
      <c r="A24" s="178"/>
      <c r="B24" s="178"/>
      <c r="C24" s="1" t="s">
        <v>98</v>
      </c>
      <c r="D24" s="1" t="s">
        <v>99</v>
      </c>
      <c r="E24" s="1" t="s">
        <v>100</v>
      </c>
      <c r="F24" s="1" t="s">
        <v>98</v>
      </c>
      <c r="G24" s="1" t="s">
        <v>99</v>
      </c>
      <c r="H24" s="1" t="s">
        <v>100</v>
      </c>
      <c r="I24" s="1" t="s">
        <v>98</v>
      </c>
      <c r="J24" s="1" t="s">
        <v>99</v>
      </c>
      <c r="K24" s="1" t="s">
        <v>100</v>
      </c>
      <c r="L24" s="1" t="s">
        <v>98</v>
      </c>
      <c r="M24" s="1" t="s">
        <v>99</v>
      </c>
      <c r="N24" s="1" t="s">
        <v>100</v>
      </c>
      <c r="O24" s="1" t="s">
        <v>98</v>
      </c>
      <c r="P24" s="1" t="s">
        <v>99</v>
      </c>
      <c r="Q24" s="1" t="s">
        <v>100</v>
      </c>
      <c r="R24" s="1" t="s">
        <v>98</v>
      </c>
      <c r="S24" s="1" t="s">
        <v>99</v>
      </c>
      <c r="T24" s="1" t="s">
        <v>100</v>
      </c>
      <c r="U24" s="1" t="s">
        <v>98</v>
      </c>
      <c r="V24" s="1" t="s">
        <v>99</v>
      </c>
      <c r="W24" s="1" t="s">
        <v>100</v>
      </c>
      <c r="X24" s="1" t="s">
        <v>98</v>
      </c>
      <c r="Y24" s="1" t="s">
        <v>99</v>
      </c>
      <c r="Z24" s="1" t="s">
        <v>100</v>
      </c>
    </row>
    <row r="25" spans="1:26">
      <c r="A25" s="67" t="s">
        <v>76</v>
      </c>
      <c r="B25" s="67" t="s">
        <v>77</v>
      </c>
      <c r="C25" s="68">
        <f>'Detalle metas'!M2</f>
        <v>240</v>
      </c>
      <c r="D25" s="68">
        <f t="shared" ref="D25:D39" si="9">SUM(G25,J25,M25,P25,S25,V25,Y25)</f>
        <v>0</v>
      </c>
      <c r="E25" s="69">
        <f t="shared" ref="E25:E39" si="10">IFERROR(D25/C25,0)</f>
        <v>0</v>
      </c>
      <c r="F25" s="70">
        <f>'Detalle metas'!N2</f>
        <v>0</v>
      </c>
      <c r="G25" s="71"/>
      <c r="H25" s="72">
        <f t="shared" ref="H25:H39" si="11">IFERROR(G25/F25,0)</f>
        <v>0</v>
      </c>
      <c r="I25" s="70">
        <f>'Detalle metas'!O2</f>
        <v>24</v>
      </c>
      <c r="J25" s="71"/>
      <c r="K25" s="72">
        <f t="shared" ref="K25:K39" si="12">IFERROR(J25/I25,0)</f>
        <v>0</v>
      </c>
      <c r="L25" s="70">
        <f>'Detalle metas'!P2</f>
        <v>54</v>
      </c>
      <c r="M25" s="71"/>
      <c r="N25" s="72">
        <f t="shared" ref="N25:N39" si="13">IFERROR(M25/L25,0)</f>
        <v>0</v>
      </c>
      <c r="O25" s="70">
        <f>'Detalle metas'!Q2</f>
        <v>54</v>
      </c>
      <c r="P25" s="71"/>
      <c r="Q25" s="72">
        <f t="shared" ref="Q25:Q39" si="14">IFERROR(P25/O25,0)</f>
        <v>0</v>
      </c>
      <c r="R25" s="70">
        <f>'Detalle metas'!R2</f>
        <v>54</v>
      </c>
      <c r="S25" s="71"/>
      <c r="T25" s="72">
        <f t="shared" ref="T25:T39" si="15">IFERROR(S25/R25,0)</f>
        <v>0</v>
      </c>
      <c r="U25" s="70">
        <f>'Detalle metas'!S2</f>
        <v>54</v>
      </c>
      <c r="V25" s="71"/>
      <c r="W25" s="72">
        <f t="shared" ref="W25:W39" si="16">IFERROR(V25/U25,0)</f>
        <v>0</v>
      </c>
      <c r="X25" s="70">
        <f>'Detalle metas'!T2</f>
        <v>0</v>
      </c>
      <c r="Y25" s="71"/>
      <c r="Z25" s="72">
        <f t="shared" ref="Z25:Z39" si="17">IFERROR(Y25/X25,0)</f>
        <v>0</v>
      </c>
    </row>
    <row r="26" spans="1:26">
      <c r="A26" s="67" t="s">
        <v>76</v>
      </c>
      <c r="B26" s="67" t="s">
        <v>78</v>
      </c>
      <c r="C26" s="68">
        <f>'Detalle metas'!M3</f>
        <v>960</v>
      </c>
      <c r="D26" s="68">
        <f t="shared" si="9"/>
        <v>0</v>
      </c>
      <c r="E26" s="69">
        <f t="shared" si="10"/>
        <v>0</v>
      </c>
      <c r="F26" s="70">
        <f>'Detalle metas'!N3</f>
        <v>0</v>
      </c>
      <c r="G26" s="71"/>
      <c r="H26" s="72">
        <f t="shared" si="11"/>
        <v>0</v>
      </c>
      <c r="I26" s="70">
        <f>'Detalle metas'!O3</f>
        <v>96</v>
      </c>
      <c r="J26" s="71"/>
      <c r="K26" s="72">
        <f t="shared" si="12"/>
        <v>0</v>
      </c>
      <c r="L26" s="70">
        <f>'Detalle metas'!P3</f>
        <v>216</v>
      </c>
      <c r="M26" s="71"/>
      <c r="N26" s="72">
        <f t="shared" si="13"/>
        <v>0</v>
      </c>
      <c r="O26" s="70">
        <f>'Detalle metas'!Q3</f>
        <v>216</v>
      </c>
      <c r="P26" s="71"/>
      <c r="Q26" s="72">
        <f t="shared" si="14"/>
        <v>0</v>
      </c>
      <c r="R26" s="70">
        <f>'Detalle metas'!R3</f>
        <v>216</v>
      </c>
      <c r="S26" s="71"/>
      <c r="T26" s="72">
        <f t="shared" si="15"/>
        <v>0</v>
      </c>
      <c r="U26" s="70">
        <f>'Detalle metas'!S3</f>
        <v>216</v>
      </c>
      <c r="V26" s="71"/>
      <c r="W26" s="72">
        <f t="shared" si="16"/>
        <v>0</v>
      </c>
      <c r="X26" s="70">
        <f>'Detalle metas'!T3</f>
        <v>0</v>
      </c>
      <c r="Y26" s="71"/>
      <c r="Z26" s="72">
        <f t="shared" si="17"/>
        <v>0</v>
      </c>
    </row>
    <row r="27" spans="1:26">
      <c r="A27" s="67" t="s">
        <v>76</v>
      </c>
      <c r="B27" s="67" t="s">
        <v>79</v>
      </c>
      <c r="C27" s="68">
        <f>'Detalle metas'!M4</f>
        <v>288</v>
      </c>
      <c r="D27" s="68">
        <f t="shared" si="9"/>
        <v>0</v>
      </c>
      <c r="E27" s="69">
        <f t="shared" si="10"/>
        <v>0</v>
      </c>
      <c r="F27" s="70">
        <f>'Detalle metas'!N4</f>
        <v>0</v>
      </c>
      <c r="G27" s="71"/>
      <c r="H27" s="72">
        <f t="shared" si="11"/>
        <v>0</v>
      </c>
      <c r="I27" s="70">
        <f>'Detalle metas'!O4</f>
        <v>48</v>
      </c>
      <c r="J27" s="71"/>
      <c r="K27" s="72">
        <f t="shared" si="12"/>
        <v>0</v>
      </c>
      <c r="L27" s="70">
        <f>'Detalle metas'!P4</f>
        <v>60</v>
      </c>
      <c r="M27" s="71"/>
      <c r="N27" s="72">
        <f t="shared" si="13"/>
        <v>0</v>
      </c>
      <c r="O27" s="70">
        <f>'Detalle metas'!Q4</f>
        <v>60</v>
      </c>
      <c r="P27" s="71"/>
      <c r="Q27" s="72">
        <f t="shared" si="14"/>
        <v>0</v>
      </c>
      <c r="R27" s="70">
        <f>'Detalle metas'!R4</f>
        <v>60</v>
      </c>
      <c r="S27" s="71"/>
      <c r="T27" s="72">
        <f t="shared" si="15"/>
        <v>0</v>
      </c>
      <c r="U27" s="70">
        <f>'Detalle metas'!S4</f>
        <v>60</v>
      </c>
      <c r="V27" s="71"/>
      <c r="W27" s="72">
        <f t="shared" si="16"/>
        <v>0</v>
      </c>
      <c r="X27" s="70">
        <f>'Detalle metas'!T4</f>
        <v>0</v>
      </c>
      <c r="Y27" s="71"/>
      <c r="Z27" s="72">
        <f t="shared" si="17"/>
        <v>0</v>
      </c>
    </row>
    <row r="28" spans="1:26">
      <c r="A28" s="67" t="s">
        <v>76</v>
      </c>
      <c r="B28" s="67" t="s">
        <v>80</v>
      </c>
      <c r="C28" s="68">
        <f>'Detalle metas'!M5</f>
        <v>115</v>
      </c>
      <c r="D28" s="68">
        <f t="shared" si="9"/>
        <v>0</v>
      </c>
      <c r="E28" s="69">
        <f t="shared" si="10"/>
        <v>0</v>
      </c>
      <c r="F28" s="70">
        <f>'Detalle metas'!N5</f>
        <v>0</v>
      </c>
      <c r="G28" s="71"/>
      <c r="H28" s="72">
        <f t="shared" si="11"/>
        <v>0</v>
      </c>
      <c r="I28" s="70">
        <f>'Detalle metas'!O5</f>
        <v>15</v>
      </c>
      <c r="J28" s="71"/>
      <c r="K28" s="72">
        <f t="shared" si="12"/>
        <v>0</v>
      </c>
      <c r="L28" s="70">
        <f>'Detalle metas'!P5</f>
        <v>25</v>
      </c>
      <c r="M28" s="71"/>
      <c r="N28" s="72">
        <f t="shared" si="13"/>
        <v>0</v>
      </c>
      <c r="O28" s="70">
        <f>'Detalle metas'!Q5</f>
        <v>25</v>
      </c>
      <c r="P28" s="71"/>
      <c r="Q28" s="72">
        <f t="shared" si="14"/>
        <v>0</v>
      </c>
      <c r="R28" s="70">
        <f>'Detalle metas'!R5</f>
        <v>25</v>
      </c>
      <c r="S28" s="71"/>
      <c r="T28" s="72">
        <f t="shared" si="15"/>
        <v>0</v>
      </c>
      <c r="U28" s="70">
        <f>'Detalle metas'!S5</f>
        <v>25</v>
      </c>
      <c r="V28" s="71"/>
      <c r="W28" s="72">
        <f t="shared" si="16"/>
        <v>0</v>
      </c>
      <c r="X28" s="70">
        <f>'Detalle metas'!T5</f>
        <v>0</v>
      </c>
      <c r="Y28" s="71"/>
      <c r="Z28" s="72">
        <f t="shared" si="17"/>
        <v>0</v>
      </c>
    </row>
    <row r="29" spans="1:26">
      <c r="A29" s="67" t="s">
        <v>76</v>
      </c>
      <c r="B29" s="67" t="s">
        <v>81</v>
      </c>
      <c r="C29" s="68">
        <f>'Detalle metas'!M6</f>
        <v>300</v>
      </c>
      <c r="D29" s="68">
        <f t="shared" si="9"/>
        <v>0</v>
      </c>
      <c r="E29" s="69">
        <f t="shared" si="10"/>
        <v>0</v>
      </c>
      <c r="F29" s="70">
        <f>'Detalle metas'!N6</f>
        <v>0</v>
      </c>
      <c r="G29" s="71"/>
      <c r="H29" s="72">
        <f t="shared" si="11"/>
        <v>0</v>
      </c>
      <c r="I29" s="70">
        <f>'Detalle metas'!O6</f>
        <v>30</v>
      </c>
      <c r="J29" s="71"/>
      <c r="K29" s="72">
        <f t="shared" si="12"/>
        <v>0</v>
      </c>
      <c r="L29" s="70">
        <f>'Detalle metas'!P6</f>
        <v>60</v>
      </c>
      <c r="M29" s="71"/>
      <c r="N29" s="72">
        <f t="shared" si="13"/>
        <v>0</v>
      </c>
      <c r="O29" s="70">
        <f>'Detalle metas'!Q6</f>
        <v>75</v>
      </c>
      <c r="P29" s="71"/>
      <c r="Q29" s="72">
        <f t="shared" si="14"/>
        <v>0</v>
      </c>
      <c r="R29" s="70">
        <f>'Detalle metas'!R6</f>
        <v>75</v>
      </c>
      <c r="S29" s="71"/>
      <c r="T29" s="72">
        <f t="shared" si="15"/>
        <v>0</v>
      </c>
      <c r="U29" s="70">
        <f>'Detalle metas'!S6</f>
        <v>60</v>
      </c>
      <c r="V29" s="71"/>
      <c r="W29" s="72">
        <f t="shared" si="16"/>
        <v>0</v>
      </c>
      <c r="X29" s="70">
        <f>'Detalle metas'!T6</f>
        <v>0</v>
      </c>
      <c r="Y29" s="71"/>
      <c r="Z29" s="72">
        <f t="shared" si="17"/>
        <v>0</v>
      </c>
    </row>
    <row r="30" spans="1:26">
      <c r="A30" s="67" t="s">
        <v>76</v>
      </c>
      <c r="B30" s="67" t="s">
        <v>82</v>
      </c>
      <c r="C30" s="68">
        <f>'Detalle metas'!M7</f>
        <v>1200</v>
      </c>
      <c r="D30" s="68">
        <f t="shared" si="9"/>
        <v>0</v>
      </c>
      <c r="E30" s="69">
        <f t="shared" si="10"/>
        <v>0</v>
      </c>
      <c r="F30" s="70">
        <f>'Detalle metas'!N7</f>
        <v>0</v>
      </c>
      <c r="G30" s="71"/>
      <c r="H30" s="72">
        <f t="shared" si="11"/>
        <v>0</v>
      </c>
      <c r="I30" s="70">
        <f>'Detalle metas'!O7</f>
        <v>120</v>
      </c>
      <c r="J30" s="71">
        <f>J29*4</f>
        <v>0</v>
      </c>
      <c r="K30" s="72">
        <f t="shared" si="12"/>
        <v>0</v>
      </c>
      <c r="L30" s="70">
        <f>'Detalle metas'!P7</f>
        <v>240</v>
      </c>
      <c r="M30" s="71">
        <f>M29*4</f>
        <v>0</v>
      </c>
      <c r="N30" s="72">
        <f t="shared" si="13"/>
        <v>0</v>
      </c>
      <c r="O30" s="70">
        <f>'Detalle metas'!Q7</f>
        <v>300</v>
      </c>
      <c r="P30" s="71">
        <f>P29*4</f>
        <v>0</v>
      </c>
      <c r="Q30" s="72">
        <f t="shared" si="14"/>
        <v>0</v>
      </c>
      <c r="R30" s="70">
        <f>'Detalle metas'!R7</f>
        <v>300</v>
      </c>
      <c r="S30" s="71">
        <f>S29*4</f>
        <v>0</v>
      </c>
      <c r="T30" s="72">
        <f t="shared" si="15"/>
        <v>0</v>
      </c>
      <c r="U30" s="70">
        <f>'Detalle metas'!S7</f>
        <v>240</v>
      </c>
      <c r="V30" s="71">
        <f>V29*4</f>
        <v>0</v>
      </c>
      <c r="W30" s="72">
        <f t="shared" si="16"/>
        <v>0</v>
      </c>
      <c r="X30" s="70">
        <f>'Detalle metas'!T7</f>
        <v>0</v>
      </c>
      <c r="Y30" s="71">
        <f>Y29*4</f>
        <v>0</v>
      </c>
      <c r="Z30" s="72">
        <f t="shared" si="17"/>
        <v>0</v>
      </c>
    </row>
    <row r="31" spans="1:26">
      <c r="A31" s="67" t="s">
        <v>76</v>
      </c>
      <c r="B31" s="67" t="s">
        <v>83</v>
      </c>
      <c r="C31" s="68">
        <f>'Detalle metas'!M8</f>
        <v>1</v>
      </c>
      <c r="D31" s="68">
        <f t="shared" si="9"/>
        <v>0</v>
      </c>
      <c r="E31" s="69">
        <f t="shared" si="10"/>
        <v>0</v>
      </c>
      <c r="F31" s="70">
        <f>'Detalle metas'!N8</f>
        <v>0</v>
      </c>
      <c r="G31" s="71"/>
      <c r="H31" s="72">
        <f t="shared" si="11"/>
        <v>0</v>
      </c>
      <c r="I31" s="70">
        <f>'Detalle metas'!O8</f>
        <v>0</v>
      </c>
      <c r="J31" s="71"/>
      <c r="K31" s="72">
        <f t="shared" si="12"/>
        <v>0</v>
      </c>
      <c r="L31" s="70">
        <f>'Detalle metas'!P8</f>
        <v>0</v>
      </c>
      <c r="M31" s="71"/>
      <c r="N31" s="72">
        <f t="shared" si="13"/>
        <v>0</v>
      </c>
      <c r="O31" s="70">
        <f>'Detalle metas'!Q8</f>
        <v>1</v>
      </c>
      <c r="P31" s="71"/>
      <c r="Q31" s="72">
        <f t="shared" si="14"/>
        <v>0</v>
      </c>
      <c r="R31" s="70">
        <f>'Detalle metas'!R8</f>
        <v>0</v>
      </c>
      <c r="S31" s="71"/>
      <c r="T31" s="72">
        <f t="shared" si="15"/>
        <v>0</v>
      </c>
      <c r="U31" s="70">
        <f>'Detalle metas'!S8</f>
        <v>0</v>
      </c>
      <c r="V31" s="71"/>
      <c r="W31" s="72">
        <f t="shared" si="16"/>
        <v>0</v>
      </c>
      <c r="X31" s="70">
        <f>'Detalle metas'!T8</f>
        <v>0</v>
      </c>
      <c r="Y31" s="71"/>
      <c r="Z31" s="72">
        <f t="shared" si="17"/>
        <v>0</v>
      </c>
    </row>
    <row r="32" spans="1:26">
      <c r="A32" s="67" t="s">
        <v>76</v>
      </c>
      <c r="B32" s="67" t="s">
        <v>84</v>
      </c>
      <c r="C32" s="68">
        <f>'Detalle metas'!M9</f>
        <v>900</v>
      </c>
      <c r="D32" s="68">
        <f t="shared" si="9"/>
        <v>0</v>
      </c>
      <c r="E32" s="69">
        <f t="shared" si="10"/>
        <v>0</v>
      </c>
      <c r="F32" s="70">
        <f>'Detalle metas'!N9</f>
        <v>0</v>
      </c>
      <c r="G32" s="71"/>
      <c r="H32" s="72">
        <f t="shared" si="11"/>
        <v>0</v>
      </c>
      <c r="I32" s="70">
        <f>'Detalle metas'!O9</f>
        <v>0</v>
      </c>
      <c r="J32" s="71"/>
      <c r="K32" s="72">
        <f t="shared" si="12"/>
        <v>0</v>
      </c>
      <c r="L32" s="70">
        <f>'Detalle metas'!P9</f>
        <v>0</v>
      </c>
      <c r="M32" s="71"/>
      <c r="N32" s="72">
        <f t="shared" si="13"/>
        <v>0</v>
      </c>
      <c r="O32" s="70">
        <f>'Detalle metas'!Q9</f>
        <v>180</v>
      </c>
      <c r="P32" s="71"/>
      <c r="Q32" s="72">
        <f t="shared" si="14"/>
        <v>0</v>
      </c>
      <c r="R32" s="70">
        <f>'Detalle metas'!R9</f>
        <v>360</v>
      </c>
      <c r="S32" s="71"/>
      <c r="T32" s="72">
        <f t="shared" si="15"/>
        <v>0</v>
      </c>
      <c r="U32" s="70">
        <f>'Detalle metas'!S9</f>
        <v>360</v>
      </c>
      <c r="V32" s="71"/>
      <c r="W32" s="72">
        <f t="shared" si="16"/>
        <v>0</v>
      </c>
      <c r="X32" s="70">
        <f>'Detalle metas'!T9</f>
        <v>0</v>
      </c>
      <c r="Y32" s="71"/>
      <c r="Z32" s="72">
        <f t="shared" si="17"/>
        <v>0</v>
      </c>
    </row>
    <row r="33" spans="1:26">
      <c r="A33" s="67" t="s">
        <v>85</v>
      </c>
      <c r="B33" s="67" t="s">
        <v>101</v>
      </c>
      <c r="C33" s="68">
        <f>'Detalle metas'!M10</f>
        <v>700</v>
      </c>
      <c r="D33" s="68">
        <f t="shared" si="9"/>
        <v>0</v>
      </c>
      <c r="E33" s="69">
        <f t="shared" si="10"/>
        <v>0</v>
      </c>
      <c r="F33" s="70">
        <f>'Detalle metas'!N10</f>
        <v>0</v>
      </c>
      <c r="G33" s="71"/>
      <c r="H33" s="72">
        <f t="shared" si="11"/>
        <v>0</v>
      </c>
      <c r="I33" s="70">
        <f>'Detalle metas'!O10</f>
        <v>92</v>
      </c>
      <c r="J33" s="71"/>
      <c r="K33" s="72">
        <f t="shared" si="12"/>
        <v>0</v>
      </c>
      <c r="L33" s="70">
        <f>'Detalle metas'!P10</f>
        <v>161</v>
      </c>
      <c r="M33" s="71"/>
      <c r="N33" s="72">
        <f t="shared" si="13"/>
        <v>0</v>
      </c>
      <c r="O33" s="70">
        <f>'Detalle metas'!Q10</f>
        <v>161</v>
      </c>
      <c r="P33" s="71"/>
      <c r="Q33" s="72">
        <f t="shared" si="14"/>
        <v>0</v>
      </c>
      <c r="R33" s="70">
        <f>'Detalle metas'!R10</f>
        <v>161</v>
      </c>
      <c r="S33" s="71"/>
      <c r="T33" s="72">
        <f t="shared" si="15"/>
        <v>0</v>
      </c>
      <c r="U33" s="70">
        <f>'Detalle metas'!S10</f>
        <v>125</v>
      </c>
      <c r="V33" s="71"/>
      <c r="W33" s="72">
        <f t="shared" si="16"/>
        <v>0</v>
      </c>
      <c r="X33" s="70">
        <f>'Detalle metas'!T10</f>
        <v>0</v>
      </c>
      <c r="Y33" s="71"/>
      <c r="Z33" s="72">
        <f t="shared" si="17"/>
        <v>0</v>
      </c>
    </row>
    <row r="34" spans="1:26">
      <c r="A34" s="67" t="s">
        <v>85</v>
      </c>
      <c r="B34" s="67" t="s">
        <v>87</v>
      </c>
      <c r="C34" s="68">
        <f>'Detalle metas'!M11</f>
        <v>1345</v>
      </c>
      <c r="D34" s="68">
        <f t="shared" si="9"/>
        <v>0</v>
      </c>
      <c r="E34" s="69">
        <f t="shared" si="10"/>
        <v>0</v>
      </c>
      <c r="F34" s="70">
        <f>'Detalle metas'!N11</f>
        <v>0</v>
      </c>
      <c r="G34" s="71"/>
      <c r="H34" s="72">
        <f t="shared" si="11"/>
        <v>0</v>
      </c>
      <c r="I34" s="70">
        <f>'Detalle metas'!O11</f>
        <v>144</v>
      </c>
      <c r="J34" s="71"/>
      <c r="K34" s="72">
        <f t="shared" si="12"/>
        <v>0</v>
      </c>
      <c r="L34" s="70">
        <f>'Detalle metas'!P11</f>
        <v>300</v>
      </c>
      <c r="M34" s="71"/>
      <c r="N34" s="72">
        <f t="shared" si="13"/>
        <v>0</v>
      </c>
      <c r="O34" s="70">
        <f>'Detalle metas'!Q11</f>
        <v>300</v>
      </c>
      <c r="P34" s="71"/>
      <c r="Q34" s="72">
        <f t="shared" si="14"/>
        <v>0</v>
      </c>
      <c r="R34" s="70">
        <f>'Detalle metas'!R11</f>
        <v>300</v>
      </c>
      <c r="S34" s="71"/>
      <c r="T34" s="72">
        <f t="shared" si="15"/>
        <v>0</v>
      </c>
      <c r="U34" s="70">
        <f>'Detalle metas'!S11</f>
        <v>301</v>
      </c>
      <c r="V34" s="71"/>
      <c r="W34" s="72">
        <f t="shared" si="16"/>
        <v>0</v>
      </c>
      <c r="X34" s="70">
        <f>'Detalle metas'!T11</f>
        <v>0</v>
      </c>
      <c r="Y34" s="71"/>
      <c r="Z34" s="72">
        <f t="shared" si="17"/>
        <v>0</v>
      </c>
    </row>
    <row r="35" spans="1:26">
      <c r="A35" s="67" t="s">
        <v>85</v>
      </c>
      <c r="B35" s="67" t="s">
        <v>88</v>
      </c>
      <c r="C35" s="68">
        <f>'Detalle metas'!M12</f>
        <v>672</v>
      </c>
      <c r="D35" s="68">
        <f t="shared" si="9"/>
        <v>0</v>
      </c>
      <c r="E35" s="69">
        <f t="shared" si="10"/>
        <v>0</v>
      </c>
      <c r="F35" s="70">
        <f>'Detalle metas'!N12</f>
        <v>0</v>
      </c>
      <c r="G35" s="71"/>
      <c r="H35" s="72">
        <f t="shared" si="11"/>
        <v>0</v>
      </c>
      <c r="I35" s="70">
        <f>'Detalle metas'!O12</f>
        <v>72</v>
      </c>
      <c r="J35" s="71"/>
      <c r="K35" s="72">
        <f t="shared" si="12"/>
        <v>0</v>
      </c>
      <c r="L35" s="70">
        <f>'Detalle metas'!P12</f>
        <v>150</v>
      </c>
      <c r="M35" s="71"/>
      <c r="N35" s="72">
        <f t="shared" si="13"/>
        <v>0</v>
      </c>
      <c r="O35" s="70">
        <f>'Detalle metas'!Q12</f>
        <v>150</v>
      </c>
      <c r="P35" s="71"/>
      <c r="Q35" s="72">
        <f t="shared" si="14"/>
        <v>0</v>
      </c>
      <c r="R35" s="70">
        <f>'Detalle metas'!R12</f>
        <v>150</v>
      </c>
      <c r="S35" s="71"/>
      <c r="T35" s="72">
        <f t="shared" si="15"/>
        <v>0</v>
      </c>
      <c r="U35" s="70">
        <f>'Detalle metas'!S12</f>
        <v>150</v>
      </c>
      <c r="V35" s="71"/>
      <c r="W35" s="72">
        <f t="shared" si="16"/>
        <v>0</v>
      </c>
      <c r="X35" s="70">
        <f>'Detalle metas'!T12</f>
        <v>0</v>
      </c>
      <c r="Y35" s="71"/>
      <c r="Z35" s="72">
        <f t="shared" si="17"/>
        <v>0</v>
      </c>
    </row>
    <row r="36" spans="1:26">
      <c r="A36" s="67" t="s">
        <v>85</v>
      </c>
      <c r="B36" s="67" t="s">
        <v>89</v>
      </c>
      <c r="C36" s="68">
        <f>'Detalle metas'!M13</f>
        <v>70</v>
      </c>
      <c r="D36" s="68">
        <f t="shared" si="9"/>
        <v>0</v>
      </c>
      <c r="E36" s="69">
        <f t="shared" si="10"/>
        <v>0</v>
      </c>
      <c r="F36" s="70">
        <f>'Detalle metas'!N13</f>
        <v>0</v>
      </c>
      <c r="G36" s="71"/>
      <c r="H36" s="72">
        <f t="shared" si="11"/>
        <v>0</v>
      </c>
      <c r="I36" s="70">
        <f>'Detalle metas'!O13</f>
        <v>7</v>
      </c>
      <c r="J36" s="71"/>
      <c r="K36" s="72">
        <f t="shared" si="12"/>
        <v>0</v>
      </c>
      <c r="L36" s="70">
        <f>'Detalle metas'!P13</f>
        <v>16</v>
      </c>
      <c r="M36" s="71"/>
      <c r="N36" s="72">
        <f t="shared" si="13"/>
        <v>0</v>
      </c>
      <c r="O36" s="70">
        <f>'Detalle metas'!Q13</f>
        <v>16</v>
      </c>
      <c r="P36" s="71"/>
      <c r="Q36" s="72">
        <f t="shared" si="14"/>
        <v>0</v>
      </c>
      <c r="R36" s="70">
        <f>'Detalle metas'!R13</f>
        <v>16</v>
      </c>
      <c r="S36" s="71"/>
      <c r="T36" s="72">
        <f t="shared" si="15"/>
        <v>0</v>
      </c>
      <c r="U36" s="70">
        <f>'Detalle metas'!S13</f>
        <v>15</v>
      </c>
      <c r="V36" s="71"/>
      <c r="W36" s="72">
        <f t="shared" si="16"/>
        <v>0</v>
      </c>
      <c r="X36" s="70">
        <f>'Detalle metas'!T13</f>
        <v>0</v>
      </c>
      <c r="Y36" s="71"/>
      <c r="Z36" s="72">
        <f t="shared" si="17"/>
        <v>0</v>
      </c>
    </row>
    <row r="37" spans="1:26">
      <c r="A37" s="67" t="s">
        <v>85</v>
      </c>
      <c r="B37" s="67" t="s">
        <v>90</v>
      </c>
      <c r="C37" s="68">
        <f>'Detalle metas'!M14</f>
        <v>288</v>
      </c>
      <c r="D37" s="68">
        <f t="shared" si="9"/>
        <v>0</v>
      </c>
      <c r="E37" s="69">
        <f t="shared" si="10"/>
        <v>0</v>
      </c>
      <c r="F37" s="70">
        <f>'Detalle metas'!N14</f>
        <v>0</v>
      </c>
      <c r="G37" s="71"/>
      <c r="H37" s="72">
        <f t="shared" si="11"/>
        <v>0</v>
      </c>
      <c r="I37" s="70">
        <f>'Detalle metas'!O14</f>
        <v>48</v>
      </c>
      <c r="J37" s="71"/>
      <c r="K37" s="72">
        <f t="shared" si="12"/>
        <v>0</v>
      </c>
      <c r="L37" s="70">
        <f>'Detalle metas'!P14</f>
        <v>60</v>
      </c>
      <c r="M37" s="71"/>
      <c r="N37" s="72">
        <f t="shared" si="13"/>
        <v>0</v>
      </c>
      <c r="O37" s="70">
        <f>'Detalle metas'!Q14</f>
        <v>60</v>
      </c>
      <c r="P37" s="71"/>
      <c r="Q37" s="72">
        <f t="shared" si="14"/>
        <v>0</v>
      </c>
      <c r="R37" s="70">
        <f>'Detalle metas'!R14</f>
        <v>60</v>
      </c>
      <c r="S37" s="71"/>
      <c r="T37" s="72">
        <f t="shared" si="15"/>
        <v>0</v>
      </c>
      <c r="U37" s="70">
        <f>'Detalle metas'!S14</f>
        <v>60</v>
      </c>
      <c r="V37" s="71"/>
      <c r="W37" s="72">
        <f t="shared" si="16"/>
        <v>0</v>
      </c>
      <c r="X37" s="70">
        <f>'Detalle metas'!T14</f>
        <v>0</v>
      </c>
      <c r="Y37" s="71"/>
      <c r="Z37" s="72">
        <f t="shared" si="17"/>
        <v>0</v>
      </c>
    </row>
    <row r="38" spans="1:26">
      <c r="A38" s="67" t="s">
        <v>91</v>
      </c>
      <c r="B38" s="67" t="s">
        <v>92</v>
      </c>
      <c r="C38" s="68">
        <f>'Detalle metas'!M15</f>
        <v>288</v>
      </c>
      <c r="D38" s="68">
        <f t="shared" si="9"/>
        <v>0</v>
      </c>
      <c r="E38" s="69">
        <f t="shared" si="10"/>
        <v>0</v>
      </c>
      <c r="F38" s="70">
        <f>'Detalle metas'!N15</f>
        <v>0</v>
      </c>
      <c r="G38" s="71"/>
      <c r="H38" s="72">
        <f t="shared" si="11"/>
        <v>0</v>
      </c>
      <c r="I38" s="70">
        <f>'Detalle metas'!O15</f>
        <v>30</v>
      </c>
      <c r="J38" s="71"/>
      <c r="K38" s="72">
        <f t="shared" si="12"/>
        <v>0</v>
      </c>
      <c r="L38" s="70">
        <f>'Detalle metas'!P15</f>
        <v>64</v>
      </c>
      <c r="M38" s="71"/>
      <c r="N38" s="72">
        <f t="shared" si="13"/>
        <v>0</v>
      </c>
      <c r="O38" s="70">
        <f>'Detalle metas'!Q15</f>
        <v>66</v>
      </c>
      <c r="P38" s="71"/>
      <c r="Q38" s="72">
        <f t="shared" si="14"/>
        <v>0</v>
      </c>
      <c r="R38" s="70">
        <f>'Detalle metas'!R15</f>
        <v>64</v>
      </c>
      <c r="S38" s="71"/>
      <c r="T38" s="72">
        <f t="shared" si="15"/>
        <v>0</v>
      </c>
      <c r="U38" s="70">
        <f>'Detalle metas'!S15</f>
        <v>64</v>
      </c>
      <c r="V38" s="71"/>
      <c r="W38" s="72">
        <f t="shared" si="16"/>
        <v>0</v>
      </c>
      <c r="X38" s="70">
        <f>'Detalle metas'!T15</f>
        <v>0</v>
      </c>
      <c r="Y38" s="71"/>
      <c r="Z38" s="72">
        <f t="shared" si="17"/>
        <v>0</v>
      </c>
    </row>
    <row r="39" spans="1:26" ht="25.5" customHeight="1">
      <c r="A39" s="67" t="s">
        <v>91</v>
      </c>
      <c r="B39" s="67" t="s">
        <v>93</v>
      </c>
      <c r="C39" s="68">
        <f>'Detalle metas'!M16</f>
        <v>864</v>
      </c>
      <c r="D39" s="68">
        <f t="shared" si="9"/>
        <v>0</v>
      </c>
      <c r="E39" s="69">
        <f t="shared" si="10"/>
        <v>0</v>
      </c>
      <c r="F39" s="70">
        <f>'Detalle metas'!N16</f>
        <v>0</v>
      </c>
      <c r="G39" s="71"/>
      <c r="H39" s="72">
        <f t="shared" si="11"/>
        <v>0</v>
      </c>
      <c r="I39" s="70">
        <f>'Detalle metas'!O16</f>
        <v>90</v>
      </c>
      <c r="J39" s="71"/>
      <c r="K39" s="72">
        <f t="shared" si="12"/>
        <v>0</v>
      </c>
      <c r="L39" s="70">
        <f>'Detalle metas'!P16</f>
        <v>192</v>
      </c>
      <c r="M39" s="71"/>
      <c r="N39" s="72">
        <f t="shared" si="13"/>
        <v>0</v>
      </c>
      <c r="O39" s="70">
        <f>'Detalle metas'!Q16</f>
        <v>198</v>
      </c>
      <c r="P39" s="71"/>
      <c r="Q39" s="72">
        <f t="shared" si="14"/>
        <v>0</v>
      </c>
      <c r="R39" s="70">
        <f>'Detalle metas'!R16</f>
        <v>192</v>
      </c>
      <c r="S39" s="71"/>
      <c r="T39" s="72">
        <f t="shared" si="15"/>
        <v>0</v>
      </c>
      <c r="U39" s="70">
        <f>'Detalle metas'!S16</f>
        <v>192</v>
      </c>
      <c r="V39" s="71"/>
      <c r="W39" s="72">
        <f t="shared" si="16"/>
        <v>0</v>
      </c>
      <c r="X39" s="70">
        <f>'Detalle metas'!T16</f>
        <v>0</v>
      </c>
      <c r="Y39" s="71"/>
      <c r="Z39" s="72">
        <f t="shared" si="17"/>
        <v>0</v>
      </c>
    </row>
    <row r="41" spans="1:26" ht="21.75" customHeight="1">
      <c r="A41" s="179" t="s">
        <v>104</v>
      </c>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row>
    <row r="42" spans="1:26" ht="19.5" customHeight="1">
      <c r="A42" s="178" t="s">
        <v>56</v>
      </c>
      <c r="B42" s="178" t="s">
        <v>57</v>
      </c>
      <c r="C42" s="178" t="s">
        <v>97</v>
      </c>
      <c r="D42" s="178"/>
      <c r="E42" s="178"/>
      <c r="F42" s="178" t="s">
        <v>61</v>
      </c>
      <c r="G42" s="178"/>
      <c r="H42" s="178"/>
      <c r="I42" s="178" t="s">
        <v>62</v>
      </c>
      <c r="J42" s="178"/>
      <c r="K42" s="178"/>
      <c r="L42" s="178" t="s">
        <v>63</v>
      </c>
      <c r="M42" s="178"/>
      <c r="N42" s="178"/>
      <c r="O42" s="178" t="s">
        <v>64</v>
      </c>
      <c r="P42" s="178"/>
      <c r="Q42" s="178"/>
      <c r="R42" s="178" t="s">
        <v>65</v>
      </c>
      <c r="S42" s="178"/>
      <c r="T42" s="178"/>
      <c r="U42" s="178" t="s">
        <v>66</v>
      </c>
      <c r="V42" s="178"/>
      <c r="W42" s="178"/>
      <c r="X42" s="178" t="s">
        <v>67</v>
      </c>
      <c r="Y42" s="178"/>
      <c r="Z42" s="178"/>
    </row>
    <row r="43" spans="1:26" ht="21.75" customHeight="1">
      <c r="A43" s="178"/>
      <c r="B43" s="178"/>
      <c r="C43" s="1" t="s">
        <v>98</v>
      </c>
      <c r="D43" s="1" t="s">
        <v>99</v>
      </c>
      <c r="E43" s="1" t="s">
        <v>100</v>
      </c>
      <c r="F43" s="1" t="s">
        <v>98</v>
      </c>
      <c r="G43" s="1" t="s">
        <v>99</v>
      </c>
      <c r="H43" s="1" t="s">
        <v>100</v>
      </c>
      <c r="I43" s="1" t="s">
        <v>98</v>
      </c>
      <c r="J43" s="1" t="s">
        <v>99</v>
      </c>
      <c r="K43" s="1" t="s">
        <v>100</v>
      </c>
      <c r="L43" s="1" t="s">
        <v>98</v>
      </c>
      <c r="M43" s="1" t="s">
        <v>99</v>
      </c>
      <c r="N43" s="1" t="s">
        <v>100</v>
      </c>
      <c r="O43" s="1" t="s">
        <v>98</v>
      </c>
      <c r="P43" s="1" t="s">
        <v>99</v>
      </c>
      <c r="Q43" s="1" t="s">
        <v>100</v>
      </c>
      <c r="R43" s="1" t="s">
        <v>98</v>
      </c>
      <c r="S43" s="1" t="s">
        <v>99</v>
      </c>
      <c r="T43" s="1" t="s">
        <v>100</v>
      </c>
      <c r="U43" s="1" t="s">
        <v>98</v>
      </c>
      <c r="V43" s="1" t="s">
        <v>99</v>
      </c>
      <c r="W43" s="1" t="s">
        <v>100</v>
      </c>
      <c r="X43" s="1" t="s">
        <v>98</v>
      </c>
      <c r="Y43" s="1" t="s">
        <v>99</v>
      </c>
      <c r="Z43" s="1" t="s">
        <v>100</v>
      </c>
    </row>
    <row r="44" spans="1:26">
      <c r="A44" s="67" t="s">
        <v>76</v>
      </c>
      <c r="B44" s="67" t="s">
        <v>77</v>
      </c>
      <c r="C44" s="68">
        <f>SUM(C6,C25)</f>
        <v>480</v>
      </c>
      <c r="D44" s="68">
        <f>SUM(D6,D25)</f>
        <v>0</v>
      </c>
      <c r="E44" s="69">
        <f t="shared" ref="E44:E58" si="18">IFERROR(D44/C44,0)</f>
        <v>0</v>
      </c>
      <c r="F44" s="70">
        <f>SUM(F6,F25)</f>
        <v>0</v>
      </c>
      <c r="G44" s="70">
        <f>SUM(G6,G25)</f>
        <v>0</v>
      </c>
      <c r="H44" s="72">
        <f t="shared" ref="H44:H58" si="19">IFERROR(G44/F44,0)</f>
        <v>0</v>
      </c>
      <c r="I44" s="70">
        <f>SUM(I6,I25)</f>
        <v>48</v>
      </c>
      <c r="J44" s="70">
        <f>SUM(J6,J25)</f>
        <v>0</v>
      </c>
      <c r="K44" s="72">
        <f t="shared" ref="K44:K58" si="20">IFERROR(J44/I44,0)</f>
        <v>0</v>
      </c>
      <c r="L44" s="70">
        <f>SUM(L6,L25)</f>
        <v>108</v>
      </c>
      <c r="M44" s="70">
        <f>SUM(M6,M25)</f>
        <v>0</v>
      </c>
      <c r="N44" s="72">
        <f t="shared" ref="N44:N58" si="21">IFERROR(M44/L44,0)</f>
        <v>0</v>
      </c>
      <c r="O44" s="70">
        <f>SUM(O6,O25)</f>
        <v>108</v>
      </c>
      <c r="P44" s="70">
        <f>SUM(P6,P25)</f>
        <v>0</v>
      </c>
      <c r="Q44" s="72">
        <f t="shared" ref="Q44:Q58" si="22">IFERROR(P44/O44,0)</f>
        <v>0</v>
      </c>
      <c r="R44" s="70">
        <f>SUM(R6,R25)</f>
        <v>108</v>
      </c>
      <c r="S44" s="70">
        <f>SUM(S6,S25)</f>
        <v>0</v>
      </c>
      <c r="T44" s="72">
        <f t="shared" ref="T44:T58" si="23">IFERROR(S44/R44,0)</f>
        <v>0</v>
      </c>
      <c r="U44" s="70">
        <f>SUM(U6,U25)</f>
        <v>108</v>
      </c>
      <c r="V44" s="70">
        <f>SUM(V6,V25)</f>
        <v>0</v>
      </c>
      <c r="W44" s="72">
        <f t="shared" ref="W44:W58" si="24">IFERROR(V44/U44,0)</f>
        <v>0</v>
      </c>
      <c r="X44" s="70">
        <f>SUM(X6,X25)</f>
        <v>0</v>
      </c>
      <c r="Y44" s="70">
        <f>SUM(Y6,Y25)</f>
        <v>0</v>
      </c>
      <c r="Z44" s="72">
        <f t="shared" ref="Z44:Z58" si="25">IFERROR(Y44/X44,0)</f>
        <v>0</v>
      </c>
    </row>
    <row r="45" spans="1:26">
      <c r="A45" s="67" t="s">
        <v>76</v>
      </c>
      <c r="B45" s="67" t="s">
        <v>78</v>
      </c>
      <c r="C45" s="68">
        <f>SUM(C7,C26)</f>
        <v>1920</v>
      </c>
      <c r="D45" s="68">
        <f>SUM(D7,D26)</f>
        <v>0</v>
      </c>
      <c r="E45" s="69">
        <f t="shared" si="18"/>
        <v>0</v>
      </c>
      <c r="F45" s="70">
        <f>SUM(F7,F26)</f>
        <v>0</v>
      </c>
      <c r="G45" s="70">
        <f>SUM(G7,G26)</f>
        <v>0</v>
      </c>
      <c r="H45" s="72">
        <f t="shared" si="19"/>
        <v>0</v>
      </c>
      <c r="I45" s="70">
        <f>SUM(I7,I26)</f>
        <v>192</v>
      </c>
      <c r="J45" s="70">
        <f>SUM(J7,J26)</f>
        <v>0</v>
      </c>
      <c r="K45" s="72">
        <f t="shared" si="20"/>
        <v>0</v>
      </c>
      <c r="L45" s="70">
        <f>SUM(L7,L26)</f>
        <v>432</v>
      </c>
      <c r="M45" s="70">
        <f>SUM(M7,M26)</f>
        <v>0</v>
      </c>
      <c r="N45" s="72">
        <f t="shared" si="21"/>
        <v>0</v>
      </c>
      <c r="O45" s="70">
        <f>SUM(O7,O26)</f>
        <v>432</v>
      </c>
      <c r="P45" s="70">
        <f>SUM(P7,P26)</f>
        <v>0</v>
      </c>
      <c r="Q45" s="72">
        <f t="shared" si="22"/>
        <v>0</v>
      </c>
      <c r="R45" s="70">
        <f>SUM(R7,R26)</f>
        <v>432</v>
      </c>
      <c r="S45" s="70">
        <f>SUM(S7,S26)</f>
        <v>0</v>
      </c>
      <c r="T45" s="72">
        <f t="shared" si="23"/>
        <v>0</v>
      </c>
      <c r="U45" s="70">
        <f>SUM(U7,U26)</f>
        <v>432</v>
      </c>
      <c r="V45" s="70">
        <f>SUM(V7,V26)</f>
        <v>0</v>
      </c>
      <c r="W45" s="72">
        <f t="shared" si="24"/>
        <v>0</v>
      </c>
      <c r="X45" s="70">
        <f>SUM(X7,X26)</f>
        <v>0</v>
      </c>
      <c r="Y45" s="70">
        <f>SUM(Y7,Y26)</f>
        <v>0</v>
      </c>
      <c r="Z45" s="72">
        <f t="shared" si="25"/>
        <v>0</v>
      </c>
    </row>
    <row r="46" spans="1:26">
      <c r="A46" s="67" t="s">
        <v>76</v>
      </c>
      <c r="B46" s="67" t="s">
        <v>79</v>
      </c>
      <c r="C46" s="68">
        <f>SUM(C8,C27)</f>
        <v>576</v>
      </c>
      <c r="D46" s="68">
        <f>SUM(D8,D27)</f>
        <v>0</v>
      </c>
      <c r="E46" s="69">
        <f t="shared" si="18"/>
        <v>0</v>
      </c>
      <c r="F46" s="70">
        <f>SUM(F8,F27)</f>
        <v>0</v>
      </c>
      <c r="G46" s="70">
        <f>SUM(G8,G27)</f>
        <v>0</v>
      </c>
      <c r="H46" s="72">
        <f t="shared" si="19"/>
        <v>0</v>
      </c>
      <c r="I46" s="70">
        <f>SUM(I8,I27)</f>
        <v>96</v>
      </c>
      <c r="J46" s="70">
        <f>SUM(J8,J27)</f>
        <v>0</v>
      </c>
      <c r="K46" s="72">
        <f t="shared" si="20"/>
        <v>0</v>
      </c>
      <c r="L46" s="70">
        <f>SUM(L8,L27)</f>
        <v>120</v>
      </c>
      <c r="M46" s="70">
        <f>SUM(M8,M27)</f>
        <v>0</v>
      </c>
      <c r="N46" s="72">
        <f t="shared" si="21"/>
        <v>0</v>
      </c>
      <c r="O46" s="70">
        <f>SUM(O8,O27)</f>
        <v>120</v>
      </c>
      <c r="P46" s="70">
        <f>SUM(P8,P27)</f>
        <v>0</v>
      </c>
      <c r="Q46" s="72">
        <f t="shared" si="22"/>
        <v>0</v>
      </c>
      <c r="R46" s="70">
        <f>SUM(R8,R27)</f>
        <v>120</v>
      </c>
      <c r="S46" s="70">
        <f>SUM(S8,S27)</f>
        <v>0</v>
      </c>
      <c r="T46" s="72">
        <f t="shared" si="23"/>
        <v>0</v>
      </c>
      <c r="U46" s="70">
        <f>SUM(U8,U27)</f>
        <v>120</v>
      </c>
      <c r="V46" s="70">
        <f>SUM(V8,V27)</f>
        <v>0</v>
      </c>
      <c r="W46" s="72">
        <f t="shared" si="24"/>
        <v>0</v>
      </c>
      <c r="X46" s="70">
        <f>SUM(X8,X27)</f>
        <v>0</v>
      </c>
      <c r="Y46" s="70">
        <f>SUM(Y8,Y27)</f>
        <v>0</v>
      </c>
      <c r="Z46" s="72">
        <f t="shared" si="25"/>
        <v>0</v>
      </c>
    </row>
    <row r="47" spans="1:26">
      <c r="A47" s="67" t="s">
        <v>76</v>
      </c>
      <c r="B47" s="67" t="s">
        <v>80</v>
      </c>
      <c r="C47" s="68">
        <f>SUM(C9,C28)</f>
        <v>230</v>
      </c>
      <c r="D47" s="68">
        <f>SUM(D9,D28)</f>
        <v>0</v>
      </c>
      <c r="E47" s="69">
        <f t="shared" si="18"/>
        <v>0</v>
      </c>
      <c r="F47" s="70">
        <f>SUM(F9,F28)</f>
        <v>0</v>
      </c>
      <c r="G47" s="70">
        <f>SUM(G9,G28)</f>
        <v>0</v>
      </c>
      <c r="H47" s="72">
        <f t="shared" si="19"/>
        <v>0</v>
      </c>
      <c r="I47" s="70">
        <f>SUM(I9,I28)</f>
        <v>30</v>
      </c>
      <c r="J47" s="70">
        <f>SUM(J9,J28)</f>
        <v>0</v>
      </c>
      <c r="K47" s="72">
        <f t="shared" si="20"/>
        <v>0</v>
      </c>
      <c r="L47" s="70">
        <f>SUM(L9,L28)</f>
        <v>50</v>
      </c>
      <c r="M47" s="70">
        <f>SUM(M9,M28)</f>
        <v>0</v>
      </c>
      <c r="N47" s="72">
        <f t="shared" si="21"/>
        <v>0</v>
      </c>
      <c r="O47" s="70">
        <f>SUM(O9,O28)</f>
        <v>50</v>
      </c>
      <c r="P47" s="70">
        <f>SUM(P9,P28)</f>
        <v>0</v>
      </c>
      <c r="Q47" s="72">
        <f t="shared" si="22"/>
        <v>0</v>
      </c>
      <c r="R47" s="70">
        <f>SUM(R9,R28)</f>
        <v>50</v>
      </c>
      <c r="S47" s="70">
        <f>SUM(S9,S28)</f>
        <v>0</v>
      </c>
      <c r="T47" s="72">
        <f t="shared" si="23"/>
        <v>0</v>
      </c>
      <c r="U47" s="70">
        <f>SUM(U9,U28)</f>
        <v>50</v>
      </c>
      <c r="V47" s="70">
        <f>SUM(V9,V28)</f>
        <v>0</v>
      </c>
      <c r="W47" s="72">
        <f t="shared" si="24"/>
        <v>0</v>
      </c>
      <c r="X47" s="70">
        <f>SUM(X9,X28)</f>
        <v>0</v>
      </c>
      <c r="Y47" s="70">
        <f>SUM(Y9,Y28)</f>
        <v>0</v>
      </c>
      <c r="Z47" s="72">
        <f t="shared" si="25"/>
        <v>0</v>
      </c>
    </row>
    <row r="48" spans="1:26">
      <c r="A48" s="67" t="s">
        <v>76</v>
      </c>
      <c r="B48" s="67" t="s">
        <v>81</v>
      </c>
      <c r="C48" s="68">
        <f>SUM(C10,C29)</f>
        <v>600</v>
      </c>
      <c r="D48" s="68">
        <f>SUM(D10,D29)</f>
        <v>0</v>
      </c>
      <c r="E48" s="69">
        <f t="shared" si="18"/>
        <v>0</v>
      </c>
      <c r="F48" s="70">
        <f>SUM(F10,F29)</f>
        <v>0</v>
      </c>
      <c r="G48" s="70">
        <f>SUM(G10,G29)</f>
        <v>0</v>
      </c>
      <c r="H48" s="72">
        <f t="shared" si="19"/>
        <v>0</v>
      </c>
      <c r="I48" s="70">
        <f>SUM(I10,I29)</f>
        <v>60</v>
      </c>
      <c r="J48" s="70">
        <f>SUM(J10,J29)</f>
        <v>0</v>
      </c>
      <c r="K48" s="72">
        <f t="shared" si="20"/>
        <v>0</v>
      </c>
      <c r="L48" s="70">
        <f>SUM(L10,L29)</f>
        <v>120</v>
      </c>
      <c r="M48" s="70">
        <f>SUM(M10,M29)</f>
        <v>0</v>
      </c>
      <c r="N48" s="72">
        <f t="shared" si="21"/>
        <v>0</v>
      </c>
      <c r="O48" s="70">
        <f>SUM(O10,O29)</f>
        <v>150</v>
      </c>
      <c r="P48" s="70">
        <f>SUM(P10,P29)</f>
        <v>0</v>
      </c>
      <c r="Q48" s="72">
        <f t="shared" si="22"/>
        <v>0</v>
      </c>
      <c r="R48" s="70">
        <f>SUM(R10,R29)</f>
        <v>150</v>
      </c>
      <c r="S48" s="70">
        <f>SUM(S10,S29)</f>
        <v>0</v>
      </c>
      <c r="T48" s="72">
        <f t="shared" si="23"/>
        <v>0</v>
      </c>
      <c r="U48" s="70">
        <f>SUM(U10,U29)</f>
        <v>120</v>
      </c>
      <c r="V48" s="70">
        <f>SUM(V10,V29)</f>
        <v>0</v>
      </c>
      <c r="W48" s="72">
        <f t="shared" si="24"/>
        <v>0</v>
      </c>
      <c r="X48" s="70">
        <f>SUM(X10,X29)</f>
        <v>0</v>
      </c>
      <c r="Y48" s="70">
        <f>SUM(Y10,Y29)</f>
        <v>0</v>
      </c>
      <c r="Z48" s="72">
        <f t="shared" si="25"/>
        <v>0</v>
      </c>
    </row>
    <row r="49" spans="1:26">
      <c r="A49" s="67" t="s">
        <v>76</v>
      </c>
      <c r="B49" s="67" t="s">
        <v>82</v>
      </c>
      <c r="C49" s="68">
        <f>SUM(C11,C30)</f>
        <v>2400</v>
      </c>
      <c r="D49" s="68">
        <f>SUM(D11,D30)</f>
        <v>0</v>
      </c>
      <c r="E49" s="69">
        <f t="shared" si="18"/>
        <v>0</v>
      </c>
      <c r="F49" s="70">
        <f>SUM(F11,F30)</f>
        <v>0</v>
      </c>
      <c r="G49" s="70">
        <f>SUM(G11,G30)</f>
        <v>0</v>
      </c>
      <c r="H49" s="72">
        <f t="shared" si="19"/>
        <v>0</v>
      </c>
      <c r="I49" s="70">
        <f>SUM(I11,I30)</f>
        <v>240</v>
      </c>
      <c r="J49" s="70">
        <f>SUM(J11,J30)</f>
        <v>0</v>
      </c>
      <c r="K49" s="72">
        <f t="shared" si="20"/>
        <v>0</v>
      </c>
      <c r="L49" s="70">
        <f>SUM(L11,L30)</f>
        <v>480</v>
      </c>
      <c r="M49" s="70">
        <f>SUM(M11,M30)</f>
        <v>0</v>
      </c>
      <c r="N49" s="72">
        <f t="shared" ref="N49" si="26">IFERROR(M49/L49,0)</f>
        <v>0</v>
      </c>
      <c r="O49" s="70">
        <f>SUM(O11,O30)</f>
        <v>600</v>
      </c>
      <c r="P49" s="70">
        <f>SUM(P11,P30)</f>
        <v>0</v>
      </c>
      <c r="Q49" s="72">
        <f t="shared" ref="Q49" si="27">IFERROR(P49/O49,0)</f>
        <v>0</v>
      </c>
      <c r="R49" s="70">
        <f>SUM(R11,R30)</f>
        <v>600</v>
      </c>
      <c r="S49" s="70">
        <f>SUM(S11,S30)</f>
        <v>0</v>
      </c>
      <c r="T49" s="72">
        <f t="shared" ref="T49" si="28">IFERROR(S49/R49,0)</f>
        <v>0</v>
      </c>
      <c r="U49" s="70">
        <f>SUM(U11,U30)</f>
        <v>480</v>
      </c>
      <c r="V49" s="70">
        <f>SUM(V11,V30)</f>
        <v>0</v>
      </c>
      <c r="W49" s="72">
        <f t="shared" ref="W49" si="29">IFERROR(V49/U49,0)</f>
        <v>0</v>
      </c>
      <c r="X49" s="70">
        <f>SUM(X11,X30)</f>
        <v>0</v>
      </c>
      <c r="Y49" s="70">
        <f>SUM(Y11,Y30)</f>
        <v>0</v>
      </c>
      <c r="Z49" s="72">
        <f t="shared" ref="Z49" si="30">IFERROR(Y49/X49,0)</f>
        <v>0</v>
      </c>
    </row>
    <row r="50" spans="1:26">
      <c r="A50" s="67" t="s">
        <v>76</v>
      </c>
      <c r="B50" s="67" t="s">
        <v>83</v>
      </c>
      <c r="C50" s="68">
        <f>SUM(C12,C31)</f>
        <v>2</v>
      </c>
      <c r="D50" s="68">
        <f>SUM(D12,D31)</f>
        <v>0</v>
      </c>
      <c r="E50" s="69">
        <f t="shared" si="18"/>
        <v>0</v>
      </c>
      <c r="F50" s="70">
        <f>SUM(F12,F31)</f>
        <v>0</v>
      </c>
      <c r="G50" s="70">
        <f>SUM(G12,G31)</f>
        <v>0</v>
      </c>
      <c r="H50" s="72">
        <f t="shared" si="19"/>
        <v>0</v>
      </c>
      <c r="I50" s="70">
        <f>SUM(I12,I31)</f>
        <v>0</v>
      </c>
      <c r="J50" s="70">
        <f>SUM(J12,J31)</f>
        <v>0</v>
      </c>
      <c r="K50" s="72">
        <f t="shared" si="20"/>
        <v>0</v>
      </c>
      <c r="L50" s="70">
        <f>SUM(L12,L31)</f>
        <v>0</v>
      </c>
      <c r="M50" s="70">
        <f>SUM(M12,M31)</f>
        <v>0</v>
      </c>
      <c r="N50" s="72">
        <f t="shared" si="21"/>
        <v>0</v>
      </c>
      <c r="O50" s="70">
        <f>SUM(O12,O31)</f>
        <v>2</v>
      </c>
      <c r="P50" s="70">
        <f>SUM(P12,P31)</f>
        <v>0</v>
      </c>
      <c r="Q50" s="72">
        <f t="shared" si="22"/>
        <v>0</v>
      </c>
      <c r="R50" s="70">
        <f>SUM(R12,R31)</f>
        <v>0</v>
      </c>
      <c r="S50" s="70">
        <f>SUM(S12,S31)</f>
        <v>0</v>
      </c>
      <c r="T50" s="72">
        <f t="shared" si="23"/>
        <v>0</v>
      </c>
      <c r="U50" s="70">
        <f>SUM(U12,U31)</f>
        <v>0</v>
      </c>
      <c r="V50" s="70">
        <f>SUM(V12,V31)</f>
        <v>0</v>
      </c>
      <c r="W50" s="72">
        <f t="shared" si="24"/>
        <v>0</v>
      </c>
      <c r="X50" s="70">
        <f>SUM(X12,X31)</f>
        <v>0</v>
      </c>
      <c r="Y50" s="70">
        <f>SUM(Y12,Y31)</f>
        <v>0</v>
      </c>
      <c r="Z50" s="72">
        <f t="shared" si="25"/>
        <v>0</v>
      </c>
    </row>
    <row r="51" spans="1:26">
      <c r="A51" s="67" t="s">
        <v>76</v>
      </c>
      <c r="B51" s="67" t="s">
        <v>84</v>
      </c>
      <c r="C51" s="68">
        <f>SUM(C13,C32)</f>
        <v>1800</v>
      </c>
      <c r="D51" s="68">
        <f>SUM(D13,D32)</f>
        <v>0</v>
      </c>
      <c r="E51" s="69">
        <f t="shared" si="18"/>
        <v>0</v>
      </c>
      <c r="F51" s="70">
        <f>SUM(F13,F32)</f>
        <v>0</v>
      </c>
      <c r="G51" s="70">
        <f>SUM(G13,G32)</f>
        <v>0</v>
      </c>
      <c r="H51" s="72">
        <f t="shared" si="19"/>
        <v>0</v>
      </c>
      <c r="I51" s="70">
        <f>SUM(I13,I32)</f>
        <v>0</v>
      </c>
      <c r="J51" s="70">
        <f>SUM(J13,J32)</f>
        <v>0</v>
      </c>
      <c r="K51" s="72">
        <f t="shared" si="20"/>
        <v>0</v>
      </c>
      <c r="L51" s="70">
        <f>SUM(L13,L32)</f>
        <v>0</v>
      </c>
      <c r="M51" s="70">
        <f>SUM(M13,M32)</f>
        <v>0</v>
      </c>
      <c r="N51" s="72">
        <f t="shared" si="21"/>
        <v>0</v>
      </c>
      <c r="O51" s="70">
        <f>SUM(O13,O32)</f>
        <v>360</v>
      </c>
      <c r="P51" s="70">
        <f>SUM(P13,P32)</f>
        <v>0</v>
      </c>
      <c r="Q51" s="72">
        <f t="shared" si="22"/>
        <v>0</v>
      </c>
      <c r="R51" s="70">
        <f>SUM(R13,R32)</f>
        <v>720</v>
      </c>
      <c r="S51" s="70">
        <f>SUM(S13,S32)</f>
        <v>0</v>
      </c>
      <c r="T51" s="72">
        <f t="shared" si="23"/>
        <v>0</v>
      </c>
      <c r="U51" s="70">
        <f>SUM(U13,U32)</f>
        <v>720</v>
      </c>
      <c r="V51" s="70">
        <f>SUM(V13,V32)</f>
        <v>0</v>
      </c>
      <c r="W51" s="72">
        <f t="shared" si="24"/>
        <v>0</v>
      </c>
      <c r="X51" s="70">
        <f>SUM(X13,X32)</f>
        <v>0</v>
      </c>
      <c r="Y51" s="70">
        <f>SUM(Y13,Y32)</f>
        <v>0</v>
      </c>
      <c r="Z51" s="72">
        <f t="shared" si="25"/>
        <v>0</v>
      </c>
    </row>
    <row r="52" spans="1:26">
      <c r="A52" s="67" t="s">
        <v>85</v>
      </c>
      <c r="B52" s="67" t="s">
        <v>101</v>
      </c>
      <c r="C52" s="68">
        <f>SUM(C14,C33)</f>
        <v>1400</v>
      </c>
      <c r="D52" s="68">
        <f>SUM(D14,D33)</f>
        <v>0</v>
      </c>
      <c r="E52" s="69">
        <f t="shared" si="18"/>
        <v>0</v>
      </c>
      <c r="F52" s="70">
        <f>SUM(F14,F33)</f>
        <v>0</v>
      </c>
      <c r="G52" s="70">
        <f>SUM(G14,G33)</f>
        <v>0</v>
      </c>
      <c r="H52" s="72">
        <f t="shared" si="19"/>
        <v>0</v>
      </c>
      <c r="I52" s="70">
        <f>SUM(I14,I33)</f>
        <v>184</v>
      </c>
      <c r="J52" s="70">
        <f>SUM(J14,J33)</f>
        <v>0</v>
      </c>
      <c r="K52" s="72">
        <f t="shared" si="20"/>
        <v>0</v>
      </c>
      <c r="L52" s="70">
        <f>SUM(L14,L33)</f>
        <v>322</v>
      </c>
      <c r="M52" s="70">
        <f>SUM(M14,M33)</f>
        <v>0</v>
      </c>
      <c r="N52" s="72">
        <f t="shared" si="21"/>
        <v>0</v>
      </c>
      <c r="O52" s="70">
        <f>SUM(O14,O33)</f>
        <v>322</v>
      </c>
      <c r="P52" s="70">
        <f>SUM(P14,P33)</f>
        <v>0</v>
      </c>
      <c r="Q52" s="72">
        <f t="shared" si="22"/>
        <v>0</v>
      </c>
      <c r="R52" s="70">
        <f>SUM(R14,R33)</f>
        <v>322</v>
      </c>
      <c r="S52" s="70">
        <f>SUM(S14,S33)</f>
        <v>0</v>
      </c>
      <c r="T52" s="72">
        <f t="shared" si="23"/>
        <v>0</v>
      </c>
      <c r="U52" s="70">
        <f>SUM(U14,U33)</f>
        <v>250</v>
      </c>
      <c r="V52" s="70">
        <f>SUM(V14,V33)</f>
        <v>0</v>
      </c>
      <c r="W52" s="72">
        <f t="shared" si="24"/>
        <v>0</v>
      </c>
      <c r="X52" s="70">
        <f>SUM(X14,X33)</f>
        <v>0</v>
      </c>
      <c r="Y52" s="70">
        <f>SUM(Y14,Y33)</f>
        <v>0</v>
      </c>
      <c r="Z52" s="72">
        <f t="shared" si="25"/>
        <v>0</v>
      </c>
    </row>
    <row r="53" spans="1:26">
      <c r="A53" s="67" t="s">
        <v>85</v>
      </c>
      <c r="B53" s="67" t="s">
        <v>87</v>
      </c>
      <c r="C53" s="68">
        <f>SUM(C15,C34)</f>
        <v>2690</v>
      </c>
      <c r="D53" s="68">
        <f>SUM(D15,D34)</f>
        <v>0</v>
      </c>
      <c r="E53" s="69">
        <f t="shared" si="18"/>
        <v>0</v>
      </c>
      <c r="F53" s="70">
        <f>SUM(F15,F34)</f>
        <v>0</v>
      </c>
      <c r="G53" s="70">
        <f>SUM(G15,G34)</f>
        <v>0</v>
      </c>
      <c r="H53" s="72">
        <f t="shared" si="19"/>
        <v>0</v>
      </c>
      <c r="I53" s="70">
        <f>SUM(I15,I34)</f>
        <v>288</v>
      </c>
      <c r="J53" s="70">
        <f>SUM(J15,J34)</f>
        <v>0</v>
      </c>
      <c r="K53" s="72">
        <f t="shared" si="20"/>
        <v>0</v>
      </c>
      <c r="L53" s="70">
        <f>SUM(L15,L34)</f>
        <v>600</v>
      </c>
      <c r="M53" s="70">
        <f>SUM(M15,M34)</f>
        <v>0</v>
      </c>
      <c r="N53" s="72">
        <f t="shared" si="21"/>
        <v>0</v>
      </c>
      <c r="O53" s="70">
        <f>SUM(O15,O34)</f>
        <v>600</v>
      </c>
      <c r="P53" s="70">
        <f>SUM(P15,P34)</f>
        <v>0</v>
      </c>
      <c r="Q53" s="72">
        <f t="shared" si="22"/>
        <v>0</v>
      </c>
      <c r="R53" s="70">
        <f>SUM(R15,R34)</f>
        <v>600</v>
      </c>
      <c r="S53" s="70">
        <f>SUM(S15,S34)</f>
        <v>0</v>
      </c>
      <c r="T53" s="72">
        <f t="shared" si="23"/>
        <v>0</v>
      </c>
      <c r="U53" s="70">
        <f>SUM(U15,U34)</f>
        <v>602</v>
      </c>
      <c r="V53" s="70">
        <f>SUM(V15,V34)</f>
        <v>0</v>
      </c>
      <c r="W53" s="72">
        <f t="shared" si="24"/>
        <v>0</v>
      </c>
      <c r="X53" s="70">
        <f>SUM(X15,X34)</f>
        <v>0</v>
      </c>
      <c r="Y53" s="70">
        <f>SUM(Y15,Y34)</f>
        <v>0</v>
      </c>
      <c r="Z53" s="72">
        <f t="shared" si="25"/>
        <v>0</v>
      </c>
    </row>
    <row r="54" spans="1:26">
      <c r="A54" s="67" t="s">
        <v>85</v>
      </c>
      <c r="B54" s="67" t="s">
        <v>88</v>
      </c>
      <c r="C54" s="68">
        <f>SUM(C16,C35)</f>
        <v>1345</v>
      </c>
      <c r="D54" s="68">
        <f>SUM(D16,D35)</f>
        <v>0</v>
      </c>
      <c r="E54" s="69">
        <f t="shared" si="18"/>
        <v>0</v>
      </c>
      <c r="F54" s="70">
        <f>SUM(F16,F35)</f>
        <v>0</v>
      </c>
      <c r="G54" s="70">
        <f>SUM(G16,G35)</f>
        <v>0</v>
      </c>
      <c r="H54" s="72">
        <f t="shared" si="19"/>
        <v>0</v>
      </c>
      <c r="I54" s="70">
        <f>SUM(I16,I35)</f>
        <v>144</v>
      </c>
      <c r="J54" s="70">
        <f>SUM(J16,J35)</f>
        <v>0</v>
      </c>
      <c r="K54" s="72">
        <f t="shared" si="20"/>
        <v>0</v>
      </c>
      <c r="L54" s="70">
        <f>SUM(L16,L35)</f>
        <v>300</v>
      </c>
      <c r="M54" s="70">
        <f>SUM(M16,M35)</f>
        <v>0</v>
      </c>
      <c r="N54" s="72">
        <f t="shared" si="21"/>
        <v>0</v>
      </c>
      <c r="O54" s="70">
        <f>SUM(O16,O35)</f>
        <v>300</v>
      </c>
      <c r="P54" s="70">
        <f>SUM(P16,P35)</f>
        <v>0</v>
      </c>
      <c r="Q54" s="72">
        <f t="shared" si="22"/>
        <v>0</v>
      </c>
      <c r="R54" s="70">
        <f>SUM(R16,R35)</f>
        <v>300</v>
      </c>
      <c r="S54" s="70">
        <f>SUM(S16,S35)</f>
        <v>0</v>
      </c>
      <c r="T54" s="72">
        <f t="shared" si="23"/>
        <v>0</v>
      </c>
      <c r="U54" s="70">
        <f>SUM(U16,U35)</f>
        <v>301</v>
      </c>
      <c r="V54" s="70">
        <f>SUM(V16,V35)</f>
        <v>0</v>
      </c>
      <c r="W54" s="72">
        <f t="shared" si="24"/>
        <v>0</v>
      </c>
      <c r="X54" s="70">
        <f>SUM(X16,X35)</f>
        <v>0</v>
      </c>
      <c r="Y54" s="70">
        <f>SUM(Y16,Y35)</f>
        <v>0</v>
      </c>
      <c r="Z54" s="72">
        <f t="shared" si="25"/>
        <v>0</v>
      </c>
    </row>
    <row r="55" spans="1:26">
      <c r="A55" s="67" t="s">
        <v>85</v>
      </c>
      <c r="B55" s="67" t="s">
        <v>89</v>
      </c>
      <c r="C55" s="68">
        <f>SUM(C17,C36)</f>
        <v>140</v>
      </c>
      <c r="D55" s="68">
        <f>SUM(D17,D36)</f>
        <v>0</v>
      </c>
      <c r="E55" s="69">
        <f t="shared" si="18"/>
        <v>0</v>
      </c>
      <c r="F55" s="70">
        <f>SUM(F17,F36)</f>
        <v>0</v>
      </c>
      <c r="G55" s="70">
        <f>SUM(G17,G36)</f>
        <v>0</v>
      </c>
      <c r="H55" s="72">
        <f t="shared" si="19"/>
        <v>0</v>
      </c>
      <c r="I55" s="70">
        <f>SUM(I17,I36)</f>
        <v>14</v>
      </c>
      <c r="J55" s="70">
        <f>SUM(J17,J36)</f>
        <v>0</v>
      </c>
      <c r="K55" s="72">
        <f t="shared" si="20"/>
        <v>0</v>
      </c>
      <c r="L55" s="70">
        <f>SUM(L17,L36)</f>
        <v>32</v>
      </c>
      <c r="M55" s="70">
        <f>SUM(M17,M36)</f>
        <v>0</v>
      </c>
      <c r="N55" s="72">
        <f t="shared" si="21"/>
        <v>0</v>
      </c>
      <c r="O55" s="70">
        <f>SUM(O17,O36)</f>
        <v>32</v>
      </c>
      <c r="P55" s="70">
        <f>SUM(P17,P36)</f>
        <v>0</v>
      </c>
      <c r="Q55" s="72">
        <f t="shared" si="22"/>
        <v>0</v>
      </c>
      <c r="R55" s="70">
        <f>SUM(R17,R36)</f>
        <v>32</v>
      </c>
      <c r="S55" s="70">
        <f>SUM(S17,S36)</f>
        <v>0</v>
      </c>
      <c r="T55" s="72">
        <f t="shared" si="23"/>
        <v>0</v>
      </c>
      <c r="U55" s="70">
        <f>SUM(U17,U36)</f>
        <v>30</v>
      </c>
      <c r="V55" s="70">
        <f>SUM(V17,V36)</f>
        <v>0</v>
      </c>
      <c r="W55" s="72">
        <f t="shared" si="24"/>
        <v>0</v>
      </c>
      <c r="X55" s="70">
        <f>SUM(X17,X36)</f>
        <v>0</v>
      </c>
      <c r="Y55" s="70">
        <f>SUM(Y17,Y36)</f>
        <v>0</v>
      </c>
      <c r="Z55" s="72">
        <f t="shared" si="25"/>
        <v>0</v>
      </c>
    </row>
    <row r="56" spans="1:26">
      <c r="A56" s="67" t="s">
        <v>85</v>
      </c>
      <c r="B56" s="67" t="s">
        <v>90</v>
      </c>
      <c r="C56" s="68">
        <f>SUM(C18,C37)</f>
        <v>576</v>
      </c>
      <c r="D56" s="68">
        <f>SUM(D18,D37)</f>
        <v>0</v>
      </c>
      <c r="E56" s="69">
        <f t="shared" si="18"/>
        <v>0</v>
      </c>
      <c r="F56" s="70">
        <f>SUM(F18,F37)</f>
        <v>0</v>
      </c>
      <c r="G56" s="70">
        <f>SUM(G18,G37)</f>
        <v>0</v>
      </c>
      <c r="H56" s="72">
        <f t="shared" si="19"/>
        <v>0</v>
      </c>
      <c r="I56" s="70">
        <f>SUM(I18,I37)</f>
        <v>96</v>
      </c>
      <c r="J56" s="70">
        <f>SUM(J18,J37)</f>
        <v>0</v>
      </c>
      <c r="K56" s="72">
        <f t="shared" si="20"/>
        <v>0</v>
      </c>
      <c r="L56" s="70">
        <f>SUM(L18,L37)</f>
        <v>120</v>
      </c>
      <c r="M56" s="70">
        <f>SUM(M18,M37)</f>
        <v>0</v>
      </c>
      <c r="N56" s="72">
        <f t="shared" si="21"/>
        <v>0</v>
      </c>
      <c r="O56" s="70">
        <f>SUM(O18,O37)</f>
        <v>120</v>
      </c>
      <c r="P56" s="70">
        <f>SUM(P18,P37)</f>
        <v>0</v>
      </c>
      <c r="Q56" s="72">
        <f t="shared" si="22"/>
        <v>0</v>
      </c>
      <c r="R56" s="70">
        <f>SUM(R18,R37)</f>
        <v>120</v>
      </c>
      <c r="S56" s="70">
        <f>SUM(S18,S37)</f>
        <v>0</v>
      </c>
      <c r="T56" s="72">
        <f t="shared" si="23"/>
        <v>0</v>
      </c>
      <c r="U56" s="70">
        <f>SUM(U18,U37)</f>
        <v>120</v>
      </c>
      <c r="V56" s="70">
        <f>SUM(V18,V37)</f>
        <v>0</v>
      </c>
      <c r="W56" s="72">
        <f t="shared" si="24"/>
        <v>0</v>
      </c>
      <c r="X56" s="70">
        <f>SUM(X18,X37)</f>
        <v>0</v>
      </c>
      <c r="Y56" s="70">
        <f>SUM(Y18,Y37)</f>
        <v>0</v>
      </c>
      <c r="Z56" s="72">
        <f t="shared" si="25"/>
        <v>0</v>
      </c>
    </row>
    <row r="57" spans="1:26">
      <c r="A57" s="67" t="s">
        <v>91</v>
      </c>
      <c r="B57" s="67" t="s">
        <v>92</v>
      </c>
      <c r="C57" s="68">
        <f>SUM(C19,C38)</f>
        <v>576</v>
      </c>
      <c r="D57" s="68">
        <f>SUM(D19,D38)</f>
        <v>0</v>
      </c>
      <c r="E57" s="69">
        <f t="shared" si="18"/>
        <v>0</v>
      </c>
      <c r="F57" s="70">
        <f>SUM(F19,F38)</f>
        <v>0</v>
      </c>
      <c r="G57" s="70">
        <f>SUM(G19,G38)</f>
        <v>0</v>
      </c>
      <c r="H57" s="72">
        <f t="shared" si="19"/>
        <v>0</v>
      </c>
      <c r="I57" s="70">
        <f>SUM(I19,I38)</f>
        <v>60</v>
      </c>
      <c r="J57" s="70">
        <f>SUM(J19,J38)</f>
        <v>0</v>
      </c>
      <c r="K57" s="72">
        <f t="shared" si="20"/>
        <v>0</v>
      </c>
      <c r="L57" s="70">
        <f>SUM(L19,L38)</f>
        <v>128</v>
      </c>
      <c r="M57" s="70">
        <f>SUM(M19,M38)</f>
        <v>0</v>
      </c>
      <c r="N57" s="72">
        <f t="shared" si="21"/>
        <v>0</v>
      </c>
      <c r="O57" s="70">
        <f>SUM(O19,O38)</f>
        <v>132</v>
      </c>
      <c r="P57" s="70">
        <f>SUM(P19,P38)</f>
        <v>0</v>
      </c>
      <c r="Q57" s="72">
        <f t="shared" si="22"/>
        <v>0</v>
      </c>
      <c r="R57" s="70">
        <f>SUM(R19,R38)</f>
        <v>128</v>
      </c>
      <c r="S57" s="70">
        <f>SUM(S19,S38)</f>
        <v>0</v>
      </c>
      <c r="T57" s="72">
        <f t="shared" si="23"/>
        <v>0</v>
      </c>
      <c r="U57" s="70">
        <f>SUM(U19,U38)</f>
        <v>128</v>
      </c>
      <c r="V57" s="70">
        <f>SUM(V19,V38)</f>
        <v>0</v>
      </c>
      <c r="W57" s="72">
        <f t="shared" si="24"/>
        <v>0</v>
      </c>
      <c r="X57" s="70">
        <f>SUM(X19,X38)</f>
        <v>0</v>
      </c>
      <c r="Y57" s="70">
        <f>SUM(Y19,Y38)</f>
        <v>0</v>
      </c>
      <c r="Z57" s="72">
        <f t="shared" si="25"/>
        <v>0</v>
      </c>
    </row>
    <row r="58" spans="1:26" ht="25.5" customHeight="1">
      <c r="A58" s="67" t="s">
        <v>91</v>
      </c>
      <c r="B58" s="67" t="s">
        <v>93</v>
      </c>
      <c r="C58" s="68">
        <f>SUM(C20,C39)</f>
        <v>1728</v>
      </c>
      <c r="D58" s="68">
        <f>SUM(D20,D39)</f>
        <v>0</v>
      </c>
      <c r="E58" s="69">
        <f t="shared" si="18"/>
        <v>0</v>
      </c>
      <c r="F58" s="70">
        <f>SUM(F20,F39)</f>
        <v>0</v>
      </c>
      <c r="G58" s="70">
        <f>SUM(G20,G39)</f>
        <v>0</v>
      </c>
      <c r="H58" s="72">
        <f t="shared" si="19"/>
        <v>0</v>
      </c>
      <c r="I58" s="70">
        <f>SUM(I20,I39)</f>
        <v>180</v>
      </c>
      <c r="J58" s="70">
        <f>SUM(J20,J39)</f>
        <v>0</v>
      </c>
      <c r="K58" s="72">
        <f t="shared" si="20"/>
        <v>0</v>
      </c>
      <c r="L58" s="70">
        <f>SUM(L20,L39)</f>
        <v>384</v>
      </c>
      <c r="M58" s="70">
        <f>SUM(M20,M39)</f>
        <v>0</v>
      </c>
      <c r="N58" s="72">
        <f t="shared" si="21"/>
        <v>0</v>
      </c>
      <c r="O58" s="70">
        <f>SUM(O20,O39)</f>
        <v>396</v>
      </c>
      <c r="P58" s="70">
        <f>SUM(P20,P39)</f>
        <v>0</v>
      </c>
      <c r="Q58" s="72">
        <f t="shared" si="22"/>
        <v>0</v>
      </c>
      <c r="R58" s="70">
        <f>SUM(R20,R39)</f>
        <v>384</v>
      </c>
      <c r="S58" s="70">
        <f>SUM(S20,S39)</f>
        <v>0</v>
      </c>
      <c r="T58" s="72">
        <f t="shared" si="23"/>
        <v>0</v>
      </c>
      <c r="U58" s="70">
        <f>SUM(U20,U39)</f>
        <v>384</v>
      </c>
      <c r="V58" s="70">
        <f>SUM(V20,V39)</f>
        <v>0</v>
      </c>
      <c r="W58" s="72">
        <f t="shared" si="24"/>
        <v>0</v>
      </c>
      <c r="X58" s="70">
        <f>SUM(X20,X39)</f>
        <v>0</v>
      </c>
      <c r="Y58" s="70">
        <f>SUM(Y20,Y39)</f>
        <v>0</v>
      </c>
      <c r="Z58" s="72">
        <f t="shared" si="25"/>
        <v>0</v>
      </c>
    </row>
  </sheetData>
  <mergeCells count="34">
    <mergeCell ref="A41:Z41"/>
    <mergeCell ref="A42:A43"/>
    <mergeCell ref="B42:B43"/>
    <mergeCell ref="C42:E42"/>
    <mergeCell ref="F42:H42"/>
    <mergeCell ref="I42:K42"/>
    <mergeCell ref="L42:N42"/>
    <mergeCell ref="O42:Q42"/>
    <mergeCell ref="R42:T42"/>
    <mergeCell ref="U42:W42"/>
    <mergeCell ref="X42:Z42"/>
    <mergeCell ref="A22:Z22"/>
    <mergeCell ref="A23:A24"/>
    <mergeCell ref="B23:B24"/>
    <mergeCell ref="C23:E23"/>
    <mergeCell ref="F23:H23"/>
    <mergeCell ref="I23:K23"/>
    <mergeCell ref="L23:N23"/>
    <mergeCell ref="O23:Q23"/>
    <mergeCell ref="R23:T23"/>
    <mergeCell ref="U23:W23"/>
    <mergeCell ref="X23:Z23"/>
    <mergeCell ref="A1:Z1"/>
    <mergeCell ref="A3:Z3"/>
    <mergeCell ref="A4:A5"/>
    <mergeCell ref="B4:B5"/>
    <mergeCell ref="C4:E4"/>
    <mergeCell ref="F4:H4"/>
    <mergeCell ref="I4:K4"/>
    <mergeCell ref="L4:N4"/>
    <mergeCell ref="O4:Q4"/>
    <mergeCell ref="R4:T4"/>
    <mergeCell ref="U4:W4"/>
    <mergeCell ref="X4:Z4"/>
  </mergeCells>
  <conditionalFormatting sqref="E6:E20">
    <cfRule type="cellIs" dxfId="257" priority="2" operator="lessThan">
      <formula>0.5</formula>
    </cfRule>
    <cfRule type="cellIs" dxfId="256" priority="3" operator="between">
      <formula>0.5</formula>
      <formula>0.7999</formula>
    </cfRule>
    <cfRule type="cellIs" dxfId="255" priority="4" operator="greaterThanOrEqual">
      <formula>0.8</formula>
    </cfRule>
  </conditionalFormatting>
  <conditionalFormatting sqref="E25:E39">
    <cfRule type="cellIs" dxfId="254" priority="26" operator="lessThan">
      <formula>0.5</formula>
    </cfRule>
    <cfRule type="cellIs" dxfId="253" priority="27" operator="between">
      <formula>0.5</formula>
      <formula>0.7999</formula>
    </cfRule>
    <cfRule type="cellIs" dxfId="252" priority="28" operator="greaterThanOrEqual">
      <formula>0.8</formula>
    </cfRule>
  </conditionalFormatting>
  <conditionalFormatting sqref="E44:E58">
    <cfRule type="cellIs" dxfId="251" priority="50" operator="lessThan">
      <formula>0.5</formula>
    </cfRule>
    <cfRule type="cellIs" dxfId="250" priority="51" operator="between">
      <formula>0.5</formula>
      <formula>0.7999</formula>
    </cfRule>
    <cfRule type="cellIs" dxfId="249" priority="52" operator="greaterThanOrEqual">
      <formula>0.8</formula>
    </cfRule>
  </conditionalFormatting>
  <conditionalFormatting sqref="H6:H20">
    <cfRule type="cellIs" dxfId="248" priority="5" operator="lessThan">
      <formula>0.5</formula>
    </cfRule>
    <cfRule type="cellIs" dxfId="247" priority="6" operator="between">
      <formula>0.5</formula>
      <formula>0.7999</formula>
    </cfRule>
    <cfRule type="cellIs" dxfId="246" priority="7" operator="greaterThanOrEqual">
      <formula>0.8</formula>
    </cfRule>
  </conditionalFormatting>
  <conditionalFormatting sqref="H25:H39">
    <cfRule type="cellIs" dxfId="245" priority="29" operator="lessThan">
      <formula>0.5</formula>
    </cfRule>
    <cfRule type="cellIs" dxfId="244" priority="30" operator="between">
      <formula>0.5</formula>
      <formula>0.7999</formula>
    </cfRule>
    <cfRule type="cellIs" dxfId="243" priority="31" operator="greaterThanOrEqual">
      <formula>0.8</formula>
    </cfRule>
  </conditionalFormatting>
  <conditionalFormatting sqref="H44:H58">
    <cfRule type="cellIs" dxfId="242" priority="53" operator="lessThan">
      <formula>0.5</formula>
    </cfRule>
    <cfRule type="cellIs" dxfId="241" priority="54" operator="between">
      <formula>0.5</formula>
      <formula>0.7999</formula>
    </cfRule>
    <cfRule type="cellIs" dxfId="240" priority="55" operator="greaterThanOrEqual">
      <formula>0.8</formula>
    </cfRule>
  </conditionalFormatting>
  <conditionalFormatting sqref="K6:K20">
    <cfRule type="cellIs" dxfId="239" priority="8" operator="lessThan">
      <formula>0.5</formula>
    </cfRule>
    <cfRule type="cellIs" dxfId="238" priority="9" operator="between">
      <formula>0.5</formula>
      <formula>0.7999</formula>
    </cfRule>
    <cfRule type="cellIs" dxfId="237" priority="10" operator="greaterThanOrEqual">
      <formula>0.8</formula>
    </cfRule>
  </conditionalFormatting>
  <conditionalFormatting sqref="K25:K39">
    <cfRule type="cellIs" dxfId="236" priority="32" operator="lessThan">
      <formula>0.5</formula>
    </cfRule>
    <cfRule type="cellIs" dxfId="235" priority="33" operator="between">
      <formula>0.5</formula>
      <formula>0.7999</formula>
    </cfRule>
    <cfRule type="cellIs" dxfId="234" priority="34" operator="greaterThanOrEqual">
      <formula>0.8</formula>
    </cfRule>
  </conditionalFormatting>
  <conditionalFormatting sqref="K44:K58">
    <cfRule type="cellIs" dxfId="233" priority="56" operator="lessThan">
      <formula>0.5</formula>
    </cfRule>
    <cfRule type="cellIs" dxfId="232" priority="57" operator="between">
      <formula>0.5</formula>
      <formula>0.7999</formula>
    </cfRule>
    <cfRule type="cellIs" dxfId="231" priority="58" operator="greaterThanOrEqual">
      <formula>0.8</formula>
    </cfRule>
  </conditionalFormatting>
  <conditionalFormatting sqref="N6:N20">
    <cfRule type="cellIs" dxfId="230" priority="11" operator="lessThan">
      <formula>0.5</formula>
    </cfRule>
    <cfRule type="cellIs" dxfId="229" priority="12" operator="between">
      <formula>0.5</formula>
      <formula>0.7999</formula>
    </cfRule>
    <cfRule type="cellIs" dxfId="228" priority="13" operator="greaterThanOrEqual">
      <formula>0.8</formula>
    </cfRule>
  </conditionalFormatting>
  <conditionalFormatting sqref="N25:N39">
    <cfRule type="cellIs" dxfId="227" priority="35" operator="lessThan">
      <formula>0.5</formula>
    </cfRule>
    <cfRule type="cellIs" dxfId="226" priority="36" operator="between">
      <formula>0.5</formula>
      <formula>0.7999</formula>
    </cfRule>
    <cfRule type="cellIs" dxfId="225" priority="37" operator="greaterThanOrEqual">
      <formula>0.8</formula>
    </cfRule>
  </conditionalFormatting>
  <conditionalFormatting sqref="N44:N58">
    <cfRule type="cellIs" dxfId="224" priority="59" operator="lessThan">
      <formula>0.5</formula>
    </cfRule>
    <cfRule type="cellIs" dxfId="223" priority="60" operator="between">
      <formula>0.5</formula>
      <formula>0.7999</formula>
    </cfRule>
    <cfRule type="cellIs" dxfId="222" priority="61" operator="greaterThanOrEqual">
      <formula>0.8</formula>
    </cfRule>
  </conditionalFormatting>
  <conditionalFormatting sqref="Q6:Q20">
    <cfRule type="cellIs" dxfId="221" priority="14" operator="lessThan">
      <formula>0.5</formula>
    </cfRule>
    <cfRule type="cellIs" dxfId="220" priority="15" operator="between">
      <formula>0.5</formula>
      <formula>0.7999</formula>
    </cfRule>
    <cfRule type="cellIs" dxfId="219" priority="16" operator="greaterThanOrEqual">
      <formula>0.8</formula>
    </cfRule>
  </conditionalFormatting>
  <conditionalFormatting sqref="Q25:Q39">
    <cfRule type="cellIs" dxfId="218" priority="38" operator="lessThan">
      <formula>0.5</formula>
    </cfRule>
    <cfRule type="cellIs" dxfId="217" priority="39" operator="between">
      <formula>0.5</formula>
      <formula>0.7999</formula>
    </cfRule>
    <cfRule type="cellIs" dxfId="216" priority="40" operator="greaterThanOrEqual">
      <formula>0.8</formula>
    </cfRule>
  </conditionalFormatting>
  <conditionalFormatting sqref="Q44:Q58">
    <cfRule type="cellIs" dxfId="215" priority="62" operator="lessThan">
      <formula>0.5</formula>
    </cfRule>
    <cfRule type="cellIs" dxfId="214" priority="63" operator="between">
      <formula>0.5</formula>
      <formula>0.7999</formula>
    </cfRule>
    <cfRule type="cellIs" dxfId="213" priority="64" operator="greaterThanOrEqual">
      <formula>0.8</formula>
    </cfRule>
  </conditionalFormatting>
  <conditionalFormatting sqref="T6:T20">
    <cfRule type="cellIs" dxfId="212" priority="17" operator="lessThan">
      <formula>0.5</formula>
    </cfRule>
    <cfRule type="cellIs" dxfId="211" priority="18" operator="between">
      <formula>0.5</formula>
      <formula>0.7999</formula>
    </cfRule>
    <cfRule type="cellIs" dxfId="210" priority="19" operator="greaterThanOrEqual">
      <formula>0.8</formula>
    </cfRule>
  </conditionalFormatting>
  <conditionalFormatting sqref="T25:T39">
    <cfRule type="cellIs" dxfId="209" priority="41" operator="lessThan">
      <formula>0.5</formula>
    </cfRule>
    <cfRule type="cellIs" dxfId="208" priority="42" operator="between">
      <formula>0.5</formula>
      <formula>0.7999</formula>
    </cfRule>
    <cfRule type="cellIs" dxfId="207" priority="43" operator="greaterThanOrEqual">
      <formula>0.8</formula>
    </cfRule>
  </conditionalFormatting>
  <conditionalFormatting sqref="T44:T58">
    <cfRule type="cellIs" dxfId="206" priority="65" operator="lessThan">
      <formula>0.5</formula>
    </cfRule>
    <cfRule type="cellIs" dxfId="205" priority="66" operator="between">
      <formula>0.5</formula>
      <formula>0.7999</formula>
    </cfRule>
    <cfRule type="cellIs" dxfId="204" priority="67" operator="greaterThanOrEqual">
      <formula>0.8</formula>
    </cfRule>
  </conditionalFormatting>
  <conditionalFormatting sqref="W6:W20">
    <cfRule type="cellIs" dxfId="203" priority="20" operator="lessThan">
      <formula>0.5</formula>
    </cfRule>
    <cfRule type="cellIs" dxfId="202" priority="21" operator="between">
      <formula>0.5</formula>
      <formula>0.7999</formula>
    </cfRule>
    <cfRule type="cellIs" dxfId="201" priority="22" operator="greaterThanOrEqual">
      <formula>0.8</formula>
    </cfRule>
  </conditionalFormatting>
  <conditionalFormatting sqref="W25:W39">
    <cfRule type="cellIs" dxfId="200" priority="44" operator="lessThan">
      <formula>0.5</formula>
    </cfRule>
    <cfRule type="cellIs" dxfId="199" priority="45" operator="between">
      <formula>0.5</formula>
      <formula>0.7999</formula>
    </cfRule>
    <cfRule type="cellIs" dxfId="198" priority="46" operator="greaterThanOrEqual">
      <formula>0.8</formula>
    </cfRule>
  </conditionalFormatting>
  <conditionalFormatting sqref="W44:W58">
    <cfRule type="cellIs" dxfId="197" priority="68" operator="lessThan">
      <formula>0.5</formula>
    </cfRule>
    <cfRule type="cellIs" dxfId="196" priority="69" operator="between">
      <formula>0.5</formula>
      <formula>0.7999</formula>
    </cfRule>
    <cfRule type="cellIs" dxfId="195" priority="70" operator="greaterThanOrEqual">
      <formula>0.8</formula>
    </cfRule>
  </conditionalFormatting>
  <conditionalFormatting sqref="Z6:Z20">
    <cfRule type="cellIs" dxfId="194" priority="23" operator="lessThan">
      <formula>0.5</formula>
    </cfRule>
    <cfRule type="cellIs" dxfId="193" priority="24" operator="between">
      <formula>0.5</formula>
      <formula>0.7999</formula>
    </cfRule>
    <cfRule type="cellIs" dxfId="192" priority="25" operator="greaterThanOrEqual">
      <formula>0.8</formula>
    </cfRule>
  </conditionalFormatting>
  <conditionalFormatting sqref="Z25:Z39">
    <cfRule type="cellIs" dxfId="191" priority="47" operator="lessThan">
      <formula>0.5</formula>
    </cfRule>
    <cfRule type="cellIs" dxfId="190" priority="48" operator="between">
      <formula>0.5</formula>
      <formula>0.7999</formula>
    </cfRule>
    <cfRule type="cellIs" dxfId="189" priority="49" operator="greaterThanOrEqual">
      <formula>0.8</formula>
    </cfRule>
  </conditionalFormatting>
  <conditionalFormatting sqref="Z44:Z58">
    <cfRule type="cellIs" dxfId="188" priority="71" operator="lessThan">
      <formula>0.5</formula>
    </cfRule>
    <cfRule type="cellIs" dxfId="187" priority="72" operator="between">
      <formula>0.5</formula>
      <formula>0.7999</formula>
    </cfRule>
    <cfRule type="cellIs" dxfId="186" priority="73" operator="greaterThanOrEqual">
      <formula>0.8</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65911"/>
  </sheetPr>
  <dimension ref="A1:Z85"/>
  <sheetViews>
    <sheetView tabSelected="1" zoomScaleNormal="100" workbookViewId="0">
      <pane xSplit="2" ySplit="3" topLeftCell="C64" activePane="bottomRight" state="frozen"/>
      <selection pane="bottomRight" activeCell="A82" sqref="A82:B83"/>
      <selection pane="bottomLeft" activeCell="A60" sqref="A60"/>
      <selection pane="topRight" activeCell="C1" sqref="C1"/>
    </sheetView>
  </sheetViews>
  <sheetFormatPr defaultColWidth="8.7109375" defaultRowHeight="15"/>
  <cols>
    <col min="1" max="1" width="14" customWidth="1"/>
    <col min="2" max="2" width="42" customWidth="1"/>
    <col min="3" max="26" width="10" customWidth="1"/>
  </cols>
  <sheetData>
    <row r="1" spans="1:26" ht="27.75" customHeight="1">
      <c r="A1" s="176" t="s">
        <v>105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row>
    <row r="3" spans="1:26" ht="21.75" customHeight="1">
      <c r="A3" s="177" t="s">
        <v>106</v>
      </c>
      <c r="B3" s="177"/>
      <c r="C3" s="177"/>
      <c r="D3" s="177"/>
      <c r="E3" s="177"/>
      <c r="F3" s="177"/>
      <c r="G3" s="177"/>
      <c r="H3" s="177"/>
      <c r="I3" s="177"/>
      <c r="J3" s="177"/>
      <c r="K3" s="177"/>
      <c r="L3" s="177"/>
      <c r="M3" s="177"/>
      <c r="N3" s="177"/>
      <c r="O3" s="177"/>
      <c r="P3" s="177"/>
      <c r="Q3" s="177"/>
      <c r="R3" s="177"/>
      <c r="S3" s="177"/>
      <c r="T3" s="177"/>
      <c r="U3" s="177"/>
      <c r="V3" s="177"/>
      <c r="W3" s="177"/>
      <c r="X3" s="177"/>
      <c r="Y3" s="177"/>
      <c r="Z3" s="177"/>
    </row>
    <row r="4" spans="1:26" ht="19.5" customHeight="1">
      <c r="A4" s="178" t="s">
        <v>56</v>
      </c>
      <c r="B4" s="178" t="s">
        <v>57</v>
      </c>
      <c r="C4" s="178" t="s">
        <v>97</v>
      </c>
      <c r="D4" s="178"/>
      <c r="E4" s="178"/>
      <c r="F4" s="178" t="s">
        <v>61</v>
      </c>
      <c r="G4" s="178"/>
      <c r="H4" s="178"/>
      <c r="I4" s="178" t="s">
        <v>62</v>
      </c>
      <c r="J4" s="178"/>
      <c r="K4" s="178"/>
      <c r="L4" s="178" t="s">
        <v>63</v>
      </c>
      <c r="M4" s="178"/>
      <c r="N4" s="178"/>
      <c r="O4" s="178" t="s">
        <v>64</v>
      </c>
      <c r="P4" s="178"/>
      <c r="Q4" s="178"/>
      <c r="R4" s="178" t="s">
        <v>65</v>
      </c>
      <c r="S4" s="178"/>
      <c r="T4" s="178"/>
      <c r="U4" s="178" t="s">
        <v>66</v>
      </c>
      <c r="V4" s="178"/>
      <c r="W4" s="178"/>
      <c r="X4" s="178" t="s">
        <v>67</v>
      </c>
      <c r="Y4" s="178"/>
      <c r="Z4" s="178"/>
    </row>
    <row r="5" spans="1:26" ht="21.75" customHeight="1">
      <c r="A5" s="178"/>
      <c r="B5" s="178"/>
      <c r="C5" s="1" t="s">
        <v>98</v>
      </c>
      <c r="D5" s="1" t="s">
        <v>99</v>
      </c>
      <c r="E5" s="1" t="s">
        <v>100</v>
      </c>
      <c r="F5" s="1" t="s">
        <v>98</v>
      </c>
      <c r="G5" s="1" t="s">
        <v>99</v>
      </c>
      <c r="H5" s="1" t="s">
        <v>100</v>
      </c>
      <c r="I5" s="1" t="s">
        <v>98</v>
      </c>
      <c r="J5" s="1" t="s">
        <v>99</v>
      </c>
      <c r="K5" s="1" t="s">
        <v>100</v>
      </c>
      <c r="L5" s="1" t="s">
        <v>98</v>
      </c>
      <c r="M5" s="1" t="s">
        <v>99</v>
      </c>
      <c r="N5" s="1" t="s">
        <v>100</v>
      </c>
      <c r="O5" s="1" t="s">
        <v>98</v>
      </c>
      <c r="P5" s="1" t="s">
        <v>99</v>
      </c>
      <c r="Q5" s="1" t="s">
        <v>100</v>
      </c>
      <c r="R5" s="1" t="s">
        <v>98</v>
      </c>
      <c r="S5" s="1" t="s">
        <v>99</v>
      </c>
      <c r="T5" s="1" t="s">
        <v>100</v>
      </c>
      <c r="U5" s="1" t="s">
        <v>98</v>
      </c>
      <c r="V5" s="1" t="s">
        <v>99</v>
      </c>
      <c r="W5" s="1" t="s">
        <v>100</v>
      </c>
      <c r="X5" s="1" t="s">
        <v>98</v>
      </c>
      <c r="Y5" s="1" t="s">
        <v>99</v>
      </c>
      <c r="Z5" s="1" t="s">
        <v>100</v>
      </c>
    </row>
    <row r="6" spans="1:26">
      <c r="A6" s="67" t="s">
        <v>76</v>
      </c>
      <c r="B6" s="67" t="s">
        <v>77</v>
      </c>
      <c r="C6" s="68">
        <f>'Detalle metas'!V2</f>
        <v>240</v>
      </c>
      <c r="D6" s="68">
        <f t="shared" ref="D6:D13" si="0">SUM(G6,J6,M6,P6,S6,V6,Y6)</f>
        <v>0</v>
      </c>
      <c r="E6" s="69">
        <f t="shared" ref="E6:E13" si="1">IFERROR(D6/C6,0)</f>
        <v>0</v>
      </c>
      <c r="F6" s="70">
        <f>'Detalle metas'!W2</f>
        <v>0</v>
      </c>
      <c r="G6" s="71"/>
      <c r="H6" s="72">
        <f t="shared" ref="H6:H13" si="2">IFERROR(G6/F6,0)</f>
        <v>0</v>
      </c>
      <c r="I6" s="70">
        <f>'Detalle metas'!X2</f>
        <v>24</v>
      </c>
      <c r="J6" s="71"/>
      <c r="K6" s="72">
        <f t="shared" ref="K6:K13" si="3">IFERROR(J6/I6,0)</f>
        <v>0</v>
      </c>
      <c r="L6" s="70">
        <f>'Detalle metas'!Y2</f>
        <v>54</v>
      </c>
      <c r="M6" s="71"/>
      <c r="N6" s="72">
        <f t="shared" ref="N6:N13" si="4">IFERROR(M6/L6,0)</f>
        <v>0</v>
      </c>
      <c r="O6" s="70">
        <f>'Detalle metas'!Z2</f>
        <v>54</v>
      </c>
      <c r="P6" s="71"/>
      <c r="Q6" s="72">
        <f t="shared" ref="Q6:Q13" si="5">IFERROR(P6/O6,0)</f>
        <v>0</v>
      </c>
      <c r="R6" s="70">
        <f>'Detalle metas'!AA2</f>
        <v>54</v>
      </c>
      <c r="S6" s="71"/>
      <c r="T6" s="72">
        <f t="shared" ref="T6:T13" si="6">IFERROR(S6/R6,0)</f>
        <v>0</v>
      </c>
      <c r="U6" s="70">
        <f>'Detalle metas'!AB2</f>
        <v>54</v>
      </c>
      <c r="V6" s="71"/>
      <c r="W6" s="72">
        <f t="shared" ref="W6:W13" si="7">IFERROR(V6/U6,0)</f>
        <v>0</v>
      </c>
      <c r="X6" s="70">
        <f>'Detalle metas'!AC2</f>
        <v>0</v>
      </c>
      <c r="Y6" s="71"/>
      <c r="Z6" s="72">
        <f t="shared" ref="Z6:Z13" si="8">IFERROR(Y6/X6,0)</f>
        <v>0</v>
      </c>
    </row>
    <row r="7" spans="1:26">
      <c r="A7" s="67" t="s">
        <v>76</v>
      </c>
      <c r="B7" s="67" t="s">
        <v>78</v>
      </c>
      <c r="C7" s="68">
        <f>'Detalle metas'!V3</f>
        <v>960</v>
      </c>
      <c r="D7" s="68">
        <f t="shared" si="0"/>
        <v>0</v>
      </c>
      <c r="E7" s="69">
        <f t="shared" si="1"/>
        <v>0</v>
      </c>
      <c r="F7" s="70">
        <f>'Detalle metas'!W3</f>
        <v>0</v>
      </c>
      <c r="G7" s="71"/>
      <c r="H7" s="72">
        <f t="shared" si="2"/>
        <v>0</v>
      </c>
      <c r="I7" s="70">
        <f>'Detalle metas'!X3</f>
        <v>96</v>
      </c>
      <c r="J7" s="71"/>
      <c r="K7" s="72">
        <f t="shared" si="3"/>
        <v>0</v>
      </c>
      <c r="L7" s="70">
        <f>'Detalle metas'!Y3</f>
        <v>216</v>
      </c>
      <c r="M7" s="71"/>
      <c r="N7" s="72">
        <f t="shared" si="4"/>
        <v>0</v>
      </c>
      <c r="O7" s="70">
        <f>'Detalle metas'!Z3</f>
        <v>216</v>
      </c>
      <c r="P7" s="71"/>
      <c r="Q7" s="72">
        <f t="shared" si="5"/>
        <v>0</v>
      </c>
      <c r="R7" s="70">
        <f>'Detalle metas'!AA3</f>
        <v>216</v>
      </c>
      <c r="S7" s="71"/>
      <c r="T7" s="72">
        <f t="shared" si="6"/>
        <v>0</v>
      </c>
      <c r="U7" s="70">
        <f>'Detalle metas'!AB3</f>
        <v>216</v>
      </c>
      <c r="V7" s="71"/>
      <c r="W7" s="72">
        <f t="shared" si="7"/>
        <v>0</v>
      </c>
      <c r="X7" s="70">
        <f>'Detalle metas'!AC3</f>
        <v>0</v>
      </c>
      <c r="Y7" s="71"/>
      <c r="Z7" s="72">
        <f t="shared" si="8"/>
        <v>0</v>
      </c>
    </row>
    <row r="8" spans="1:26">
      <c r="A8" s="67" t="s">
        <v>76</v>
      </c>
      <c r="B8" s="67" t="s">
        <v>79</v>
      </c>
      <c r="C8" s="68">
        <f>'Detalle metas'!V4</f>
        <v>96</v>
      </c>
      <c r="D8" s="68">
        <f t="shared" si="0"/>
        <v>0</v>
      </c>
      <c r="E8" s="69">
        <f t="shared" si="1"/>
        <v>0</v>
      </c>
      <c r="F8" s="70">
        <f>'Detalle metas'!W4</f>
        <v>0</v>
      </c>
      <c r="G8" s="71"/>
      <c r="H8" s="72">
        <f t="shared" si="2"/>
        <v>0</v>
      </c>
      <c r="I8" s="70">
        <f>'Detalle metas'!X4</f>
        <v>16</v>
      </c>
      <c r="J8" s="71"/>
      <c r="K8" s="72">
        <f t="shared" si="3"/>
        <v>0</v>
      </c>
      <c r="L8" s="70">
        <f>'Detalle metas'!Y4</f>
        <v>20</v>
      </c>
      <c r="M8" s="71"/>
      <c r="N8" s="72">
        <f t="shared" si="4"/>
        <v>0</v>
      </c>
      <c r="O8" s="70">
        <f>'Detalle metas'!Z4</f>
        <v>20</v>
      </c>
      <c r="P8" s="71"/>
      <c r="Q8" s="72">
        <f t="shared" si="5"/>
        <v>0</v>
      </c>
      <c r="R8" s="70">
        <f>'Detalle metas'!AA4</f>
        <v>20</v>
      </c>
      <c r="S8" s="71"/>
      <c r="T8" s="72">
        <f t="shared" si="6"/>
        <v>0</v>
      </c>
      <c r="U8" s="70">
        <f>'Detalle metas'!AB4</f>
        <v>20</v>
      </c>
      <c r="V8" s="71"/>
      <c r="W8" s="72">
        <f t="shared" si="7"/>
        <v>0</v>
      </c>
      <c r="X8" s="70">
        <f>'Detalle metas'!AC4</f>
        <v>0</v>
      </c>
      <c r="Y8" s="71"/>
      <c r="Z8" s="72">
        <f t="shared" si="8"/>
        <v>0</v>
      </c>
    </row>
    <row r="9" spans="1:26">
      <c r="A9" s="67" t="s">
        <v>76</v>
      </c>
      <c r="B9" s="67" t="s">
        <v>80</v>
      </c>
      <c r="C9" s="68">
        <f>'Detalle metas'!V5</f>
        <v>29</v>
      </c>
      <c r="D9" s="68">
        <f t="shared" si="0"/>
        <v>0</v>
      </c>
      <c r="E9" s="69">
        <f t="shared" si="1"/>
        <v>0</v>
      </c>
      <c r="F9" s="70">
        <f>'Detalle metas'!W5</f>
        <v>0</v>
      </c>
      <c r="G9" s="71"/>
      <c r="H9" s="72">
        <f t="shared" si="2"/>
        <v>0</v>
      </c>
      <c r="I9" s="70">
        <f>'Detalle metas'!X5</f>
        <v>3</v>
      </c>
      <c r="J9" s="71"/>
      <c r="K9" s="72">
        <f t="shared" si="3"/>
        <v>0</v>
      </c>
      <c r="L9" s="70">
        <f>'Detalle metas'!Y5</f>
        <v>7</v>
      </c>
      <c r="M9" s="71"/>
      <c r="N9" s="72">
        <f t="shared" si="4"/>
        <v>0</v>
      </c>
      <c r="O9" s="70">
        <f>'Detalle metas'!Z5</f>
        <v>7</v>
      </c>
      <c r="P9" s="71"/>
      <c r="Q9" s="72">
        <f t="shared" si="5"/>
        <v>0</v>
      </c>
      <c r="R9" s="70">
        <f>'Detalle metas'!AA5</f>
        <v>7</v>
      </c>
      <c r="S9" s="71"/>
      <c r="T9" s="72">
        <f t="shared" si="6"/>
        <v>0</v>
      </c>
      <c r="U9" s="70">
        <f>'Detalle metas'!AB5</f>
        <v>5</v>
      </c>
      <c r="V9" s="71"/>
      <c r="W9" s="72">
        <f t="shared" si="7"/>
        <v>0</v>
      </c>
      <c r="X9" s="70">
        <f>'Detalle metas'!AC5</f>
        <v>0</v>
      </c>
      <c r="Y9" s="71"/>
      <c r="Z9" s="72">
        <f t="shared" si="8"/>
        <v>0</v>
      </c>
    </row>
    <row r="10" spans="1:26">
      <c r="A10" s="67" t="s">
        <v>76</v>
      </c>
      <c r="B10" s="67" t="s">
        <v>81</v>
      </c>
      <c r="C10" s="68">
        <f>'Detalle metas'!V6</f>
        <v>300</v>
      </c>
      <c r="D10" s="68">
        <f t="shared" si="0"/>
        <v>0</v>
      </c>
      <c r="E10" s="69">
        <f t="shared" si="1"/>
        <v>0</v>
      </c>
      <c r="F10" s="70">
        <f>'Detalle metas'!W6</f>
        <v>0</v>
      </c>
      <c r="G10" s="71"/>
      <c r="H10" s="72">
        <f t="shared" si="2"/>
        <v>0</v>
      </c>
      <c r="I10" s="70">
        <f>'Detalle metas'!X6</f>
        <v>30</v>
      </c>
      <c r="J10" s="71"/>
      <c r="K10" s="72">
        <f t="shared" si="3"/>
        <v>0</v>
      </c>
      <c r="L10" s="70">
        <f>'Detalle metas'!Y6</f>
        <v>60</v>
      </c>
      <c r="M10" s="71"/>
      <c r="N10" s="72">
        <f t="shared" si="4"/>
        <v>0</v>
      </c>
      <c r="O10" s="70">
        <f>'Detalle metas'!Z6</f>
        <v>75</v>
      </c>
      <c r="P10" s="71"/>
      <c r="Q10" s="72">
        <f t="shared" si="5"/>
        <v>0</v>
      </c>
      <c r="R10" s="70">
        <f>'Detalle metas'!AA6</f>
        <v>75</v>
      </c>
      <c r="S10" s="71"/>
      <c r="T10" s="72">
        <f t="shared" si="6"/>
        <v>0</v>
      </c>
      <c r="U10" s="70">
        <f>'Detalle metas'!AB6</f>
        <v>60</v>
      </c>
      <c r="V10" s="71"/>
      <c r="W10" s="72">
        <f t="shared" si="7"/>
        <v>0</v>
      </c>
      <c r="X10" s="70">
        <f>'Detalle metas'!AC6</f>
        <v>0</v>
      </c>
      <c r="Y10" s="71"/>
      <c r="Z10" s="72">
        <f t="shared" si="8"/>
        <v>0</v>
      </c>
    </row>
    <row r="11" spans="1:26">
      <c r="A11" s="67" t="s">
        <v>76</v>
      </c>
      <c r="B11" s="67" t="s">
        <v>82</v>
      </c>
      <c r="C11" s="68">
        <f>'Detalle metas'!V7</f>
        <v>1200</v>
      </c>
      <c r="D11" s="68">
        <f t="shared" ref="D11" si="9">SUM(G11,J11,M11,P11,S11,V11,Y11)</f>
        <v>0</v>
      </c>
      <c r="E11" s="69">
        <f t="shared" ref="E11" si="10">IFERROR(D11/C11,0)</f>
        <v>0</v>
      </c>
      <c r="F11" s="70">
        <f>'Detalle metas'!W7</f>
        <v>0</v>
      </c>
      <c r="G11" s="71"/>
      <c r="H11" s="72">
        <f t="shared" ref="H11" si="11">IFERROR(G11/F11,0)</f>
        <v>0</v>
      </c>
      <c r="I11" s="70">
        <f>'Detalle metas'!X7</f>
        <v>120</v>
      </c>
      <c r="J11" s="71">
        <f>J10*4</f>
        <v>0</v>
      </c>
      <c r="K11" s="72">
        <f t="shared" ref="K11" si="12">IFERROR(J11/I11,0)</f>
        <v>0</v>
      </c>
      <c r="L11" s="70">
        <f>'Detalle metas'!Y7</f>
        <v>240</v>
      </c>
      <c r="M11" s="71">
        <f>M10*4</f>
        <v>0</v>
      </c>
      <c r="N11" s="72">
        <f t="shared" ref="N11" si="13">IFERROR(M11/L11,0)</f>
        <v>0</v>
      </c>
      <c r="O11" s="70">
        <f>'Detalle metas'!Z7</f>
        <v>300</v>
      </c>
      <c r="P11" s="71">
        <f>P10*4</f>
        <v>0</v>
      </c>
      <c r="Q11" s="72">
        <f t="shared" ref="Q11" si="14">IFERROR(P11/O11,0)</f>
        <v>0</v>
      </c>
      <c r="R11" s="70">
        <f>'Detalle metas'!AA7</f>
        <v>300</v>
      </c>
      <c r="S11" s="71">
        <f>S10*4</f>
        <v>0</v>
      </c>
      <c r="T11" s="72">
        <f t="shared" ref="T11" si="15">IFERROR(S11/R11,0)</f>
        <v>0</v>
      </c>
      <c r="U11" s="70">
        <f>'Detalle metas'!AB7</f>
        <v>240</v>
      </c>
      <c r="V11" s="71">
        <f>V10*4</f>
        <v>0</v>
      </c>
      <c r="W11" s="72">
        <f t="shared" ref="W11" si="16">IFERROR(V11/U11,0)</f>
        <v>0</v>
      </c>
      <c r="X11" s="70">
        <f>'Detalle metas'!AC7</f>
        <v>0</v>
      </c>
      <c r="Y11" s="71">
        <f>Y10*4</f>
        <v>0</v>
      </c>
      <c r="Z11" s="72">
        <f t="shared" ref="Z11" si="17">IFERROR(Y11/X11,0)</f>
        <v>0</v>
      </c>
    </row>
    <row r="12" spans="1:26">
      <c r="A12" s="67" t="s">
        <v>76</v>
      </c>
      <c r="B12" s="67" t="s">
        <v>83</v>
      </c>
      <c r="C12" s="68">
        <f>'Detalle metas'!V8</f>
        <v>1</v>
      </c>
      <c r="D12" s="68">
        <f t="shared" si="0"/>
        <v>0</v>
      </c>
      <c r="E12" s="69">
        <f t="shared" si="1"/>
        <v>0</v>
      </c>
      <c r="F12" s="70">
        <f>'Detalle metas'!W8</f>
        <v>0</v>
      </c>
      <c r="G12" s="71"/>
      <c r="H12" s="72">
        <f t="shared" si="2"/>
        <v>0</v>
      </c>
      <c r="I12" s="70">
        <f>'Detalle metas'!X8</f>
        <v>0</v>
      </c>
      <c r="J12" s="71"/>
      <c r="K12" s="72">
        <f t="shared" si="3"/>
        <v>0</v>
      </c>
      <c r="L12" s="70">
        <f>'Detalle metas'!Y8</f>
        <v>0</v>
      </c>
      <c r="M12" s="71"/>
      <c r="N12" s="72">
        <f t="shared" si="4"/>
        <v>0</v>
      </c>
      <c r="O12" s="70">
        <f>'Detalle metas'!Z8</f>
        <v>1</v>
      </c>
      <c r="P12" s="71"/>
      <c r="Q12" s="72">
        <f t="shared" si="5"/>
        <v>0</v>
      </c>
      <c r="R12" s="70">
        <f>'Detalle metas'!AA8</f>
        <v>0</v>
      </c>
      <c r="S12" s="71"/>
      <c r="T12" s="72">
        <f t="shared" si="6"/>
        <v>0</v>
      </c>
      <c r="U12" s="70">
        <f>'Detalle metas'!AB8</f>
        <v>0</v>
      </c>
      <c r="V12" s="71"/>
      <c r="W12" s="72">
        <f t="shared" si="7"/>
        <v>0</v>
      </c>
      <c r="X12" s="70">
        <f>'Detalle metas'!AC8</f>
        <v>0</v>
      </c>
      <c r="Y12" s="71"/>
      <c r="Z12" s="72">
        <f t="shared" si="8"/>
        <v>0</v>
      </c>
    </row>
    <row r="13" spans="1:26">
      <c r="A13" s="67" t="s">
        <v>76</v>
      </c>
      <c r="B13" s="67" t="s">
        <v>84</v>
      </c>
      <c r="C13" s="68">
        <f>'Detalle metas'!V9</f>
        <v>900</v>
      </c>
      <c r="D13" s="68">
        <f t="shared" si="0"/>
        <v>0</v>
      </c>
      <c r="E13" s="69">
        <f t="shared" si="1"/>
        <v>0</v>
      </c>
      <c r="F13" s="70">
        <f>'Detalle metas'!W9</f>
        <v>0</v>
      </c>
      <c r="G13" s="71"/>
      <c r="H13" s="72">
        <f t="shared" si="2"/>
        <v>0</v>
      </c>
      <c r="I13" s="70">
        <f>'Detalle metas'!X9</f>
        <v>0</v>
      </c>
      <c r="J13" s="71"/>
      <c r="K13" s="72">
        <f t="shared" si="3"/>
        <v>0</v>
      </c>
      <c r="L13" s="70">
        <f>'Detalle metas'!Y9</f>
        <v>0</v>
      </c>
      <c r="M13" s="71"/>
      <c r="N13" s="72">
        <f t="shared" si="4"/>
        <v>0</v>
      </c>
      <c r="O13" s="70">
        <f>'Detalle metas'!Z9</f>
        <v>180</v>
      </c>
      <c r="P13" s="71"/>
      <c r="Q13" s="72">
        <f t="shared" si="5"/>
        <v>0</v>
      </c>
      <c r="R13" s="70">
        <f>'Detalle metas'!AA9</f>
        <v>360</v>
      </c>
      <c r="S13" s="71"/>
      <c r="T13" s="72">
        <f t="shared" si="6"/>
        <v>0</v>
      </c>
      <c r="U13" s="70">
        <f>'Detalle metas'!AB9</f>
        <v>360</v>
      </c>
      <c r="V13" s="71"/>
      <c r="W13" s="72">
        <f t="shared" si="7"/>
        <v>0</v>
      </c>
      <c r="X13" s="70">
        <f>'Detalle metas'!AC9</f>
        <v>0</v>
      </c>
      <c r="Y13" s="71"/>
      <c r="Z13" s="72">
        <f t="shared" si="8"/>
        <v>0</v>
      </c>
    </row>
    <row r="15" spans="1:26" ht="21.75" customHeight="1">
      <c r="A15" s="177" t="s">
        <v>107</v>
      </c>
      <c r="B15" s="177"/>
      <c r="C15" s="177"/>
      <c r="D15" s="177"/>
      <c r="E15" s="177"/>
      <c r="F15" s="177"/>
      <c r="G15" s="177"/>
      <c r="H15" s="177"/>
      <c r="I15" s="177"/>
      <c r="J15" s="177"/>
      <c r="K15" s="177"/>
      <c r="L15" s="177"/>
      <c r="M15" s="177"/>
      <c r="N15" s="177"/>
      <c r="O15" s="177"/>
      <c r="P15" s="177"/>
      <c r="Q15" s="177"/>
      <c r="R15" s="177"/>
      <c r="S15" s="177"/>
      <c r="T15" s="177"/>
      <c r="U15" s="177"/>
      <c r="V15" s="177"/>
      <c r="W15" s="177"/>
      <c r="X15" s="177"/>
      <c r="Y15" s="177"/>
      <c r="Z15" s="177"/>
    </row>
    <row r="16" spans="1:26" ht="19.5" customHeight="1">
      <c r="A16" s="178" t="s">
        <v>56</v>
      </c>
      <c r="B16" s="178" t="s">
        <v>57</v>
      </c>
      <c r="C16" s="178" t="s">
        <v>97</v>
      </c>
      <c r="D16" s="178"/>
      <c r="E16" s="178"/>
      <c r="F16" s="178" t="s">
        <v>61</v>
      </c>
      <c r="G16" s="178"/>
      <c r="H16" s="178"/>
      <c r="I16" s="178" t="s">
        <v>62</v>
      </c>
      <c r="J16" s="178"/>
      <c r="K16" s="178"/>
      <c r="L16" s="178" t="s">
        <v>63</v>
      </c>
      <c r="M16" s="178"/>
      <c r="N16" s="178"/>
      <c r="O16" s="178" t="s">
        <v>64</v>
      </c>
      <c r="P16" s="178"/>
      <c r="Q16" s="178"/>
      <c r="R16" s="178" t="s">
        <v>65</v>
      </c>
      <c r="S16" s="178"/>
      <c r="T16" s="178"/>
      <c r="U16" s="178" t="s">
        <v>66</v>
      </c>
      <c r="V16" s="178"/>
      <c r="W16" s="178"/>
      <c r="X16" s="178" t="s">
        <v>67</v>
      </c>
      <c r="Y16" s="178"/>
      <c r="Z16" s="178"/>
    </row>
    <row r="17" spans="1:26" ht="21.75" customHeight="1">
      <c r="A17" s="178"/>
      <c r="B17" s="178"/>
      <c r="C17" s="1" t="s">
        <v>98</v>
      </c>
      <c r="D17" s="1" t="s">
        <v>99</v>
      </c>
      <c r="E17" s="1" t="s">
        <v>100</v>
      </c>
      <c r="F17" s="1" t="s">
        <v>98</v>
      </c>
      <c r="G17" s="1" t="s">
        <v>99</v>
      </c>
      <c r="H17" s="1" t="s">
        <v>100</v>
      </c>
      <c r="I17" s="1" t="s">
        <v>98</v>
      </c>
      <c r="J17" s="1" t="s">
        <v>99</v>
      </c>
      <c r="K17" s="1" t="s">
        <v>100</v>
      </c>
      <c r="L17" s="1" t="s">
        <v>98</v>
      </c>
      <c r="M17" s="1" t="s">
        <v>99</v>
      </c>
      <c r="N17" s="1" t="s">
        <v>100</v>
      </c>
      <c r="O17" s="1" t="s">
        <v>98</v>
      </c>
      <c r="P17" s="1" t="s">
        <v>99</v>
      </c>
      <c r="Q17" s="1" t="s">
        <v>100</v>
      </c>
      <c r="R17" s="1" t="s">
        <v>98</v>
      </c>
      <c r="S17" s="1" t="s">
        <v>99</v>
      </c>
      <c r="T17" s="1" t="s">
        <v>100</v>
      </c>
      <c r="U17" s="1" t="s">
        <v>98</v>
      </c>
      <c r="V17" s="1" t="s">
        <v>99</v>
      </c>
      <c r="W17" s="1" t="s">
        <v>100</v>
      </c>
      <c r="X17" s="1" t="s">
        <v>98</v>
      </c>
      <c r="Y17" s="1" t="s">
        <v>99</v>
      </c>
      <c r="Z17" s="1" t="s">
        <v>100</v>
      </c>
    </row>
    <row r="18" spans="1:26">
      <c r="A18" s="67" t="s">
        <v>76</v>
      </c>
      <c r="B18" s="67" t="s">
        <v>77</v>
      </c>
      <c r="C18" s="68">
        <f>'Detalle metas'!AD2</f>
        <v>240</v>
      </c>
      <c r="D18" s="68">
        <f t="shared" ref="D18:D25" si="18">SUM(G18,J18,M18,P18,S18,V18,Y18)</f>
        <v>0</v>
      </c>
      <c r="E18" s="69">
        <f t="shared" ref="E18:E25" si="19">IFERROR(D18/C18,0)</f>
        <v>0</v>
      </c>
      <c r="F18" s="70">
        <f>'Detalle metas'!AE2</f>
        <v>0</v>
      </c>
      <c r="G18" s="71"/>
      <c r="H18" s="72">
        <f t="shared" ref="H18:H25" si="20">IFERROR(G18/F18,0)</f>
        <v>0</v>
      </c>
      <c r="I18" s="70">
        <f>'Detalle metas'!AF2</f>
        <v>24</v>
      </c>
      <c r="J18" s="71"/>
      <c r="K18" s="72">
        <f t="shared" ref="K18:K25" si="21">IFERROR(J18/I18,0)</f>
        <v>0</v>
      </c>
      <c r="L18" s="70">
        <f>'Detalle metas'!AG2</f>
        <v>54</v>
      </c>
      <c r="M18" s="71"/>
      <c r="N18" s="72">
        <f t="shared" ref="N18:N25" si="22">IFERROR(M18/L18,0)</f>
        <v>0</v>
      </c>
      <c r="O18" s="70">
        <f>'Detalle metas'!AH2</f>
        <v>54</v>
      </c>
      <c r="P18" s="71"/>
      <c r="Q18" s="72">
        <f t="shared" ref="Q18:Q25" si="23">IFERROR(P18/O18,0)</f>
        <v>0</v>
      </c>
      <c r="R18" s="70">
        <f>'Detalle metas'!AI2</f>
        <v>54</v>
      </c>
      <c r="S18" s="71"/>
      <c r="T18" s="72">
        <f t="shared" ref="T18:T25" si="24">IFERROR(S18/R18,0)</f>
        <v>0</v>
      </c>
      <c r="U18" s="70">
        <f>'Detalle metas'!AJ2</f>
        <v>54</v>
      </c>
      <c r="V18" s="71"/>
      <c r="W18" s="72">
        <f t="shared" ref="W18:W25" si="25">IFERROR(V18/U18,0)</f>
        <v>0</v>
      </c>
      <c r="X18" s="70">
        <f>'Detalle metas'!AK2</f>
        <v>0</v>
      </c>
      <c r="Y18" s="71"/>
      <c r="Z18" s="72">
        <f t="shared" ref="Z18:Z25" si="26">IFERROR(Y18/X18,0)</f>
        <v>0</v>
      </c>
    </row>
    <row r="19" spans="1:26">
      <c r="A19" s="67" t="s">
        <v>76</v>
      </c>
      <c r="B19" s="67" t="s">
        <v>78</v>
      </c>
      <c r="C19" s="68">
        <f>'Detalle metas'!AD3</f>
        <v>960</v>
      </c>
      <c r="D19" s="68">
        <f t="shared" si="18"/>
        <v>0</v>
      </c>
      <c r="E19" s="69">
        <f t="shared" si="19"/>
        <v>0</v>
      </c>
      <c r="F19" s="70">
        <f>'Detalle metas'!AE3</f>
        <v>0</v>
      </c>
      <c r="G19" s="71"/>
      <c r="H19" s="72">
        <f t="shared" si="20"/>
        <v>0</v>
      </c>
      <c r="I19" s="70">
        <f>'Detalle metas'!AF3</f>
        <v>96</v>
      </c>
      <c r="J19" s="71"/>
      <c r="K19" s="72">
        <f t="shared" si="21"/>
        <v>0</v>
      </c>
      <c r="L19" s="70">
        <f>'Detalle metas'!AG3</f>
        <v>216</v>
      </c>
      <c r="M19" s="71"/>
      <c r="N19" s="72">
        <f t="shared" si="22"/>
        <v>0</v>
      </c>
      <c r="O19" s="70">
        <f>'Detalle metas'!AH3</f>
        <v>216</v>
      </c>
      <c r="P19" s="71"/>
      <c r="Q19" s="72">
        <f t="shared" si="23"/>
        <v>0</v>
      </c>
      <c r="R19" s="70">
        <f>'Detalle metas'!AI3</f>
        <v>216</v>
      </c>
      <c r="S19" s="71"/>
      <c r="T19" s="72">
        <f t="shared" si="24"/>
        <v>0</v>
      </c>
      <c r="U19" s="70">
        <f>'Detalle metas'!AJ3</f>
        <v>216</v>
      </c>
      <c r="V19" s="71"/>
      <c r="W19" s="72">
        <f t="shared" si="25"/>
        <v>0</v>
      </c>
      <c r="X19" s="70">
        <f>'Detalle metas'!AK3</f>
        <v>0</v>
      </c>
      <c r="Y19" s="71"/>
      <c r="Z19" s="72">
        <f t="shared" si="26"/>
        <v>0</v>
      </c>
    </row>
    <row r="20" spans="1:26">
      <c r="A20" s="67" t="s">
        <v>76</v>
      </c>
      <c r="B20" s="67" t="s">
        <v>79</v>
      </c>
      <c r="C20" s="68">
        <f>'Detalle metas'!AD4</f>
        <v>96</v>
      </c>
      <c r="D20" s="68">
        <f t="shared" si="18"/>
        <v>0</v>
      </c>
      <c r="E20" s="69">
        <f t="shared" si="19"/>
        <v>0</v>
      </c>
      <c r="F20" s="70">
        <f>'Detalle metas'!AE4</f>
        <v>0</v>
      </c>
      <c r="G20" s="71"/>
      <c r="H20" s="72">
        <f t="shared" si="20"/>
        <v>0</v>
      </c>
      <c r="I20" s="70">
        <f>'Detalle metas'!AF4</f>
        <v>16</v>
      </c>
      <c r="J20" s="71"/>
      <c r="K20" s="72">
        <f t="shared" si="21"/>
        <v>0</v>
      </c>
      <c r="L20" s="70">
        <f>'Detalle metas'!AG4</f>
        <v>20</v>
      </c>
      <c r="M20" s="71"/>
      <c r="N20" s="72">
        <f t="shared" si="22"/>
        <v>0</v>
      </c>
      <c r="O20" s="70">
        <f>'Detalle metas'!AH4</f>
        <v>20</v>
      </c>
      <c r="P20" s="71"/>
      <c r="Q20" s="72">
        <f t="shared" si="23"/>
        <v>0</v>
      </c>
      <c r="R20" s="70">
        <f>'Detalle metas'!AI4</f>
        <v>20</v>
      </c>
      <c r="S20" s="71"/>
      <c r="T20" s="72">
        <f t="shared" si="24"/>
        <v>0</v>
      </c>
      <c r="U20" s="70">
        <f>'Detalle metas'!AJ4</f>
        <v>20</v>
      </c>
      <c r="V20" s="71"/>
      <c r="W20" s="72">
        <f t="shared" si="25"/>
        <v>0</v>
      </c>
      <c r="X20" s="70">
        <f>'Detalle metas'!AK4</f>
        <v>0</v>
      </c>
      <c r="Y20" s="71"/>
      <c r="Z20" s="72">
        <f t="shared" si="26"/>
        <v>0</v>
      </c>
    </row>
    <row r="21" spans="1:26">
      <c r="A21" s="67" t="s">
        <v>76</v>
      </c>
      <c r="B21" s="67" t="s">
        <v>80</v>
      </c>
      <c r="C21" s="68">
        <f>'Detalle metas'!AD5</f>
        <v>29</v>
      </c>
      <c r="D21" s="68">
        <f t="shared" si="18"/>
        <v>0</v>
      </c>
      <c r="E21" s="69">
        <f t="shared" si="19"/>
        <v>0</v>
      </c>
      <c r="F21" s="70">
        <f>'Detalle metas'!AE5</f>
        <v>0</v>
      </c>
      <c r="G21" s="71"/>
      <c r="H21" s="72">
        <f t="shared" si="20"/>
        <v>0</v>
      </c>
      <c r="I21" s="70">
        <f>'Detalle metas'!AF5</f>
        <v>3</v>
      </c>
      <c r="J21" s="71"/>
      <c r="K21" s="72">
        <f t="shared" si="21"/>
        <v>0</v>
      </c>
      <c r="L21" s="70">
        <f>'Detalle metas'!AG5</f>
        <v>7</v>
      </c>
      <c r="M21" s="71"/>
      <c r="N21" s="72">
        <f t="shared" si="22"/>
        <v>0</v>
      </c>
      <c r="O21" s="70">
        <f>'Detalle metas'!AH5</f>
        <v>7</v>
      </c>
      <c r="P21" s="71"/>
      <c r="Q21" s="72">
        <f t="shared" si="23"/>
        <v>0</v>
      </c>
      <c r="R21" s="70">
        <f>'Detalle metas'!AI5</f>
        <v>7</v>
      </c>
      <c r="S21" s="71"/>
      <c r="T21" s="72">
        <f t="shared" si="24"/>
        <v>0</v>
      </c>
      <c r="U21" s="70">
        <f>'Detalle metas'!AJ5</f>
        <v>5</v>
      </c>
      <c r="V21" s="71"/>
      <c r="W21" s="72">
        <f t="shared" si="25"/>
        <v>0</v>
      </c>
      <c r="X21" s="70">
        <f>'Detalle metas'!AK5</f>
        <v>0</v>
      </c>
      <c r="Y21" s="71"/>
      <c r="Z21" s="72">
        <f t="shared" si="26"/>
        <v>0</v>
      </c>
    </row>
    <row r="22" spans="1:26">
      <c r="A22" s="67" t="s">
        <v>76</v>
      </c>
      <c r="B22" s="67" t="s">
        <v>81</v>
      </c>
      <c r="C22" s="68">
        <f>'Detalle metas'!AD6</f>
        <v>300</v>
      </c>
      <c r="D22" s="68">
        <f t="shared" si="18"/>
        <v>0</v>
      </c>
      <c r="E22" s="69">
        <f t="shared" si="19"/>
        <v>0</v>
      </c>
      <c r="F22" s="70">
        <f>'Detalle metas'!AE6</f>
        <v>0</v>
      </c>
      <c r="G22" s="71"/>
      <c r="H22" s="72">
        <f t="shared" si="20"/>
        <v>0</v>
      </c>
      <c r="I22" s="70">
        <f>'Detalle metas'!AF6</f>
        <v>30</v>
      </c>
      <c r="J22" s="71"/>
      <c r="K22" s="72">
        <f t="shared" si="21"/>
        <v>0</v>
      </c>
      <c r="L22" s="70">
        <f>'Detalle metas'!AG6</f>
        <v>60</v>
      </c>
      <c r="M22" s="71"/>
      <c r="N22" s="72">
        <f t="shared" si="22"/>
        <v>0</v>
      </c>
      <c r="O22" s="70">
        <f>'Detalle metas'!AH6</f>
        <v>75</v>
      </c>
      <c r="P22" s="71"/>
      <c r="Q22" s="72">
        <f t="shared" si="23"/>
        <v>0</v>
      </c>
      <c r="R22" s="70">
        <f>'Detalle metas'!AI6</f>
        <v>75</v>
      </c>
      <c r="S22" s="71"/>
      <c r="T22" s="72">
        <f t="shared" si="24"/>
        <v>0</v>
      </c>
      <c r="U22" s="70">
        <f>'Detalle metas'!AJ6</f>
        <v>60</v>
      </c>
      <c r="V22" s="71"/>
      <c r="W22" s="72">
        <f t="shared" si="25"/>
        <v>0</v>
      </c>
      <c r="X22" s="70">
        <f>'Detalle metas'!AK6</f>
        <v>0</v>
      </c>
      <c r="Y22" s="71"/>
      <c r="Z22" s="72">
        <f t="shared" si="26"/>
        <v>0</v>
      </c>
    </row>
    <row r="23" spans="1:26">
      <c r="A23" s="67" t="s">
        <v>76</v>
      </c>
      <c r="B23" s="67" t="s">
        <v>82</v>
      </c>
      <c r="C23" s="68">
        <f>'Detalle metas'!AD7</f>
        <v>1200</v>
      </c>
      <c r="D23" s="68">
        <f t="shared" ref="D23" si="27">SUM(G23,J23,M23,P23,S23,V23,Y23)</f>
        <v>0</v>
      </c>
      <c r="E23" s="69">
        <f t="shared" ref="E23" si="28">IFERROR(D23/C23,0)</f>
        <v>0</v>
      </c>
      <c r="F23" s="70">
        <f>'Detalle metas'!AE7</f>
        <v>0</v>
      </c>
      <c r="G23" s="71"/>
      <c r="H23" s="72">
        <f t="shared" ref="H23" si="29">IFERROR(G23/F23,0)</f>
        <v>0</v>
      </c>
      <c r="I23" s="70">
        <f>'Detalle metas'!AF7</f>
        <v>120</v>
      </c>
      <c r="J23" s="71">
        <f>J22*4</f>
        <v>0</v>
      </c>
      <c r="K23" s="72">
        <f t="shared" ref="K23" si="30">IFERROR(J23/I23,0)</f>
        <v>0</v>
      </c>
      <c r="L23" s="70">
        <f>'Detalle metas'!AG7</f>
        <v>240</v>
      </c>
      <c r="M23" s="71">
        <f>M22*4</f>
        <v>0</v>
      </c>
      <c r="N23" s="72">
        <f t="shared" ref="N23" si="31">IFERROR(M23/L23,0)</f>
        <v>0</v>
      </c>
      <c r="O23" s="70">
        <f>'Detalle metas'!AH7</f>
        <v>300</v>
      </c>
      <c r="P23" s="71">
        <f>P22*4</f>
        <v>0</v>
      </c>
      <c r="Q23" s="72">
        <f t="shared" ref="Q23" si="32">IFERROR(P23/O23,0)</f>
        <v>0</v>
      </c>
      <c r="R23" s="70">
        <f>'Detalle metas'!AI7</f>
        <v>300</v>
      </c>
      <c r="S23" s="71">
        <f>S22*4</f>
        <v>0</v>
      </c>
      <c r="T23" s="72">
        <f t="shared" ref="T23" si="33">IFERROR(S23/R23,0)</f>
        <v>0</v>
      </c>
      <c r="U23" s="70">
        <f>'Detalle metas'!AJ7</f>
        <v>240</v>
      </c>
      <c r="V23" s="71">
        <f>V22*4</f>
        <v>0</v>
      </c>
      <c r="W23" s="72">
        <f t="shared" ref="W23" si="34">IFERROR(V23/U23,0)</f>
        <v>0</v>
      </c>
      <c r="X23" s="70">
        <f>'Detalle metas'!AK7</f>
        <v>0</v>
      </c>
      <c r="Y23" s="71">
        <f>Y22*4</f>
        <v>0</v>
      </c>
      <c r="Z23" s="72">
        <f t="shared" ref="Z23" si="35">IFERROR(Y23/X23,0)</f>
        <v>0</v>
      </c>
    </row>
    <row r="24" spans="1:26">
      <c r="A24" s="67" t="s">
        <v>76</v>
      </c>
      <c r="B24" s="67" t="s">
        <v>83</v>
      </c>
      <c r="C24" s="68">
        <f>'Detalle metas'!AD8</f>
        <v>1</v>
      </c>
      <c r="D24" s="68">
        <f t="shared" si="18"/>
        <v>0</v>
      </c>
      <c r="E24" s="69">
        <f t="shared" si="19"/>
        <v>0</v>
      </c>
      <c r="F24" s="70">
        <f>'Detalle metas'!AE8</f>
        <v>0</v>
      </c>
      <c r="G24" s="71"/>
      <c r="H24" s="72">
        <f t="shared" si="20"/>
        <v>0</v>
      </c>
      <c r="I24" s="70">
        <f>'Detalle metas'!AF8</f>
        <v>0</v>
      </c>
      <c r="J24" s="71"/>
      <c r="K24" s="72">
        <f t="shared" si="21"/>
        <v>0</v>
      </c>
      <c r="L24" s="70">
        <f>'Detalle metas'!AG8</f>
        <v>0</v>
      </c>
      <c r="M24" s="71"/>
      <c r="N24" s="72">
        <f t="shared" si="22"/>
        <v>0</v>
      </c>
      <c r="O24" s="70">
        <f>'Detalle metas'!AH8</f>
        <v>1</v>
      </c>
      <c r="P24" s="71"/>
      <c r="Q24" s="72">
        <f t="shared" si="23"/>
        <v>0</v>
      </c>
      <c r="R24" s="70">
        <f>'Detalle metas'!AI8</f>
        <v>0</v>
      </c>
      <c r="S24" s="71"/>
      <c r="T24" s="72">
        <f t="shared" si="24"/>
        <v>0</v>
      </c>
      <c r="U24" s="70">
        <f>'Detalle metas'!AJ8</f>
        <v>0</v>
      </c>
      <c r="V24" s="71"/>
      <c r="W24" s="72">
        <f t="shared" si="25"/>
        <v>0</v>
      </c>
      <c r="X24" s="70">
        <f>'Detalle metas'!AK8</f>
        <v>0</v>
      </c>
      <c r="Y24" s="71"/>
      <c r="Z24" s="72">
        <f t="shared" si="26"/>
        <v>0</v>
      </c>
    </row>
    <row r="25" spans="1:26">
      <c r="A25" s="67" t="s">
        <v>76</v>
      </c>
      <c r="B25" s="67" t="s">
        <v>84</v>
      </c>
      <c r="C25" s="68">
        <f>'Detalle metas'!AD9</f>
        <v>900</v>
      </c>
      <c r="D25" s="68">
        <f t="shared" si="18"/>
        <v>0</v>
      </c>
      <c r="E25" s="69">
        <f t="shared" si="19"/>
        <v>0</v>
      </c>
      <c r="F25" s="70">
        <f>'Detalle metas'!AE9</f>
        <v>0</v>
      </c>
      <c r="G25" s="71"/>
      <c r="H25" s="72">
        <f t="shared" si="20"/>
        <v>0</v>
      </c>
      <c r="I25" s="70">
        <f>'Detalle metas'!AF9</f>
        <v>0</v>
      </c>
      <c r="J25" s="71"/>
      <c r="K25" s="72">
        <f t="shared" si="21"/>
        <v>0</v>
      </c>
      <c r="L25" s="70">
        <f>'Detalle metas'!AG9</f>
        <v>0</v>
      </c>
      <c r="M25" s="71"/>
      <c r="N25" s="72">
        <f t="shared" si="22"/>
        <v>0</v>
      </c>
      <c r="O25" s="70">
        <f>'Detalle metas'!AH9</f>
        <v>180</v>
      </c>
      <c r="P25" s="71"/>
      <c r="Q25" s="72">
        <f t="shared" si="23"/>
        <v>0</v>
      </c>
      <c r="R25" s="70">
        <f>'Detalle metas'!AI9</f>
        <v>360</v>
      </c>
      <c r="S25" s="71"/>
      <c r="T25" s="72">
        <f t="shared" si="24"/>
        <v>0</v>
      </c>
      <c r="U25" s="70">
        <f>'Detalle metas'!AJ9</f>
        <v>360</v>
      </c>
      <c r="V25" s="71"/>
      <c r="W25" s="72">
        <f t="shared" si="25"/>
        <v>0</v>
      </c>
      <c r="X25" s="70">
        <f>'Detalle metas'!AK9</f>
        <v>0</v>
      </c>
      <c r="Y25" s="71"/>
      <c r="Z25" s="72">
        <f t="shared" si="26"/>
        <v>0</v>
      </c>
    </row>
    <row r="27" spans="1:26" ht="21.75" customHeight="1">
      <c r="A27" s="177" t="s">
        <v>108</v>
      </c>
      <c r="B27" s="177"/>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row>
    <row r="28" spans="1:26" ht="19.5" customHeight="1">
      <c r="A28" s="178" t="s">
        <v>56</v>
      </c>
      <c r="B28" s="178" t="s">
        <v>57</v>
      </c>
      <c r="C28" s="178" t="s">
        <v>97</v>
      </c>
      <c r="D28" s="178"/>
      <c r="E28" s="178"/>
      <c r="F28" s="178" t="s">
        <v>61</v>
      </c>
      <c r="G28" s="178"/>
      <c r="H28" s="178"/>
      <c r="I28" s="178" t="s">
        <v>62</v>
      </c>
      <c r="J28" s="178"/>
      <c r="K28" s="178"/>
      <c r="L28" s="178" t="s">
        <v>63</v>
      </c>
      <c r="M28" s="178"/>
      <c r="N28" s="178"/>
      <c r="O28" s="178" t="s">
        <v>64</v>
      </c>
      <c r="P28" s="178"/>
      <c r="Q28" s="178"/>
      <c r="R28" s="178" t="s">
        <v>65</v>
      </c>
      <c r="S28" s="178"/>
      <c r="T28" s="178"/>
      <c r="U28" s="178" t="s">
        <v>66</v>
      </c>
      <c r="V28" s="178"/>
      <c r="W28" s="178"/>
      <c r="X28" s="178" t="s">
        <v>67</v>
      </c>
      <c r="Y28" s="178"/>
      <c r="Z28" s="178"/>
    </row>
    <row r="29" spans="1:26" ht="21.75" customHeight="1">
      <c r="A29" s="178"/>
      <c r="B29" s="178"/>
      <c r="C29" s="1" t="s">
        <v>98</v>
      </c>
      <c r="D29" s="1" t="s">
        <v>99</v>
      </c>
      <c r="E29" s="1" t="s">
        <v>100</v>
      </c>
      <c r="F29" s="1" t="s">
        <v>98</v>
      </c>
      <c r="G29" s="1" t="s">
        <v>99</v>
      </c>
      <c r="H29" s="1" t="s">
        <v>100</v>
      </c>
      <c r="I29" s="1" t="s">
        <v>98</v>
      </c>
      <c r="J29" s="1" t="s">
        <v>99</v>
      </c>
      <c r="K29" s="1" t="s">
        <v>100</v>
      </c>
      <c r="L29" s="1" t="s">
        <v>98</v>
      </c>
      <c r="M29" s="1" t="s">
        <v>99</v>
      </c>
      <c r="N29" s="1" t="s">
        <v>100</v>
      </c>
      <c r="O29" s="1" t="s">
        <v>98</v>
      </c>
      <c r="P29" s="1" t="s">
        <v>99</v>
      </c>
      <c r="Q29" s="1" t="s">
        <v>100</v>
      </c>
      <c r="R29" s="1" t="s">
        <v>98</v>
      </c>
      <c r="S29" s="1" t="s">
        <v>99</v>
      </c>
      <c r="T29" s="1" t="s">
        <v>100</v>
      </c>
      <c r="U29" s="1" t="s">
        <v>98</v>
      </c>
      <c r="V29" s="1" t="s">
        <v>99</v>
      </c>
      <c r="W29" s="1" t="s">
        <v>100</v>
      </c>
      <c r="X29" s="1" t="s">
        <v>98</v>
      </c>
      <c r="Y29" s="1" t="s">
        <v>99</v>
      </c>
      <c r="Z29" s="1" t="s">
        <v>100</v>
      </c>
    </row>
    <row r="30" spans="1:26">
      <c r="A30" s="67" t="s">
        <v>76</v>
      </c>
      <c r="B30" s="67" t="s">
        <v>77</v>
      </c>
      <c r="C30" s="68">
        <f>'Detalle metas'!AL2</f>
        <v>160</v>
      </c>
      <c r="D30" s="68">
        <f t="shared" ref="D30:D37" si="36">SUM(G30,J30,M30,P30,S30,V30,Y30)</f>
        <v>0</v>
      </c>
      <c r="E30" s="69">
        <f t="shared" ref="E30:E37" si="37">IFERROR(D30/C30,0)</f>
        <v>0</v>
      </c>
      <c r="F30" s="70">
        <f>'Detalle metas'!AM2</f>
        <v>0</v>
      </c>
      <c r="G30" s="71"/>
      <c r="H30" s="72">
        <f t="shared" ref="H30:H37" si="38">IFERROR(G30/F30,0)</f>
        <v>0</v>
      </c>
      <c r="I30" s="70">
        <f>'Detalle metas'!AN2</f>
        <v>16</v>
      </c>
      <c r="J30" s="71"/>
      <c r="K30" s="72">
        <f t="shared" ref="K30:K37" si="39">IFERROR(J30/I30,0)</f>
        <v>0</v>
      </c>
      <c r="L30" s="70">
        <f>'Detalle metas'!AO2</f>
        <v>36</v>
      </c>
      <c r="M30" s="71"/>
      <c r="N30" s="72">
        <f t="shared" ref="N30:N37" si="40">IFERROR(M30/L30,0)</f>
        <v>0</v>
      </c>
      <c r="O30" s="70">
        <f>'Detalle metas'!AP2</f>
        <v>36</v>
      </c>
      <c r="P30" s="71"/>
      <c r="Q30" s="72">
        <f t="shared" ref="Q30:Q37" si="41">IFERROR(P30/O30,0)</f>
        <v>0</v>
      </c>
      <c r="R30" s="70">
        <f>'Detalle metas'!AQ2</f>
        <v>36</v>
      </c>
      <c r="S30" s="71"/>
      <c r="T30" s="72">
        <f t="shared" ref="T30:T37" si="42">IFERROR(S30/R30,0)</f>
        <v>0</v>
      </c>
      <c r="U30" s="70">
        <f>'Detalle metas'!AR2</f>
        <v>36</v>
      </c>
      <c r="V30" s="71"/>
      <c r="W30" s="72">
        <f t="shared" ref="W30:W37" si="43">IFERROR(V30/U30,0)</f>
        <v>0</v>
      </c>
      <c r="X30" s="70">
        <f>'Detalle metas'!AS2</f>
        <v>0</v>
      </c>
      <c r="Y30" s="71"/>
      <c r="Z30" s="72">
        <f t="shared" ref="Z30:Z37" si="44">IFERROR(Y30/X30,0)</f>
        <v>0</v>
      </c>
    </row>
    <row r="31" spans="1:26">
      <c r="A31" s="67" t="s">
        <v>76</v>
      </c>
      <c r="B31" s="67" t="s">
        <v>78</v>
      </c>
      <c r="C31" s="68">
        <f>'Detalle metas'!AL3</f>
        <v>640</v>
      </c>
      <c r="D31" s="68">
        <f t="shared" si="36"/>
        <v>0</v>
      </c>
      <c r="E31" s="69">
        <f t="shared" si="37"/>
        <v>0</v>
      </c>
      <c r="F31" s="70">
        <f>'Detalle metas'!AM3</f>
        <v>0</v>
      </c>
      <c r="G31" s="71"/>
      <c r="H31" s="72">
        <f t="shared" si="38"/>
        <v>0</v>
      </c>
      <c r="I31" s="70">
        <f>'Detalle metas'!AN3</f>
        <v>64</v>
      </c>
      <c r="J31" s="71"/>
      <c r="K31" s="72">
        <f t="shared" si="39"/>
        <v>0</v>
      </c>
      <c r="L31" s="70">
        <f>'Detalle metas'!AO3</f>
        <v>144</v>
      </c>
      <c r="M31" s="71"/>
      <c r="N31" s="72">
        <f t="shared" si="40"/>
        <v>0</v>
      </c>
      <c r="O31" s="70">
        <f>'Detalle metas'!AP3</f>
        <v>144</v>
      </c>
      <c r="P31" s="71"/>
      <c r="Q31" s="72">
        <f t="shared" si="41"/>
        <v>0</v>
      </c>
      <c r="R31" s="70">
        <f>'Detalle metas'!AQ3</f>
        <v>144</v>
      </c>
      <c r="S31" s="71"/>
      <c r="T31" s="72">
        <f t="shared" si="42"/>
        <v>0</v>
      </c>
      <c r="U31" s="70">
        <f>'Detalle metas'!AR3</f>
        <v>144</v>
      </c>
      <c r="V31" s="71"/>
      <c r="W31" s="72">
        <f t="shared" si="43"/>
        <v>0</v>
      </c>
      <c r="X31" s="70">
        <f>'Detalle metas'!AS3</f>
        <v>0</v>
      </c>
      <c r="Y31" s="71"/>
      <c r="Z31" s="72">
        <f t="shared" si="44"/>
        <v>0</v>
      </c>
    </row>
    <row r="32" spans="1:26">
      <c r="A32" s="67" t="s">
        <v>76</v>
      </c>
      <c r="B32" s="67" t="s">
        <v>79</v>
      </c>
      <c r="C32" s="68">
        <f>'Detalle metas'!AL4</f>
        <v>96</v>
      </c>
      <c r="D32" s="68">
        <f t="shared" si="36"/>
        <v>0</v>
      </c>
      <c r="E32" s="69">
        <f t="shared" si="37"/>
        <v>0</v>
      </c>
      <c r="F32" s="70">
        <f>'Detalle metas'!AM4</f>
        <v>0</v>
      </c>
      <c r="G32" s="71"/>
      <c r="H32" s="72">
        <f t="shared" si="38"/>
        <v>0</v>
      </c>
      <c r="I32" s="70">
        <f>'Detalle metas'!AN4</f>
        <v>16</v>
      </c>
      <c r="J32" s="71"/>
      <c r="K32" s="72">
        <f t="shared" si="39"/>
        <v>0</v>
      </c>
      <c r="L32" s="70">
        <f>'Detalle metas'!AO4</f>
        <v>20</v>
      </c>
      <c r="M32" s="71"/>
      <c r="N32" s="72">
        <f t="shared" si="40"/>
        <v>0</v>
      </c>
      <c r="O32" s="70">
        <f>'Detalle metas'!AP4</f>
        <v>20</v>
      </c>
      <c r="P32" s="71"/>
      <c r="Q32" s="72">
        <f t="shared" si="41"/>
        <v>0</v>
      </c>
      <c r="R32" s="70">
        <f>'Detalle metas'!AQ4</f>
        <v>20</v>
      </c>
      <c r="S32" s="71"/>
      <c r="T32" s="72">
        <f t="shared" si="42"/>
        <v>0</v>
      </c>
      <c r="U32" s="70">
        <f>'Detalle metas'!AR4</f>
        <v>20</v>
      </c>
      <c r="V32" s="71"/>
      <c r="W32" s="72">
        <f t="shared" si="43"/>
        <v>0</v>
      </c>
      <c r="X32" s="70">
        <f>'Detalle metas'!AS4</f>
        <v>0</v>
      </c>
      <c r="Y32" s="71"/>
      <c r="Z32" s="72">
        <f t="shared" si="44"/>
        <v>0</v>
      </c>
    </row>
    <row r="33" spans="1:26">
      <c r="A33" s="67" t="s">
        <v>76</v>
      </c>
      <c r="B33" s="67" t="s">
        <v>80</v>
      </c>
      <c r="C33" s="68">
        <f>'Detalle metas'!AL5</f>
        <v>29</v>
      </c>
      <c r="D33" s="68">
        <f t="shared" si="36"/>
        <v>0</v>
      </c>
      <c r="E33" s="69">
        <f t="shared" si="37"/>
        <v>0</v>
      </c>
      <c r="F33" s="70">
        <f>'Detalle metas'!AM5</f>
        <v>0</v>
      </c>
      <c r="G33" s="71"/>
      <c r="H33" s="72">
        <f t="shared" si="38"/>
        <v>0</v>
      </c>
      <c r="I33" s="70">
        <f>'Detalle metas'!AN5</f>
        <v>3</v>
      </c>
      <c r="J33" s="71"/>
      <c r="K33" s="72">
        <f t="shared" si="39"/>
        <v>0</v>
      </c>
      <c r="L33" s="70">
        <f>'Detalle metas'!AO5</f>
        <v>7</v>
      </c>
      <c r="M33" s="71"/>
      <c r="N33" s="72">
        <f t="shared" si="40"/>
        <v>0</v>
      </c>
      <c r="O33" s="70">
        <f>'Detalle metas'!AP5</f>
        <v>7</v>
      </c>
      <c r="P33" s="71"/>
      <c r="Q33" s="72">
        <f t="shared" si="41"/>
        <v>0</v>
      </c>
      <c r="R33" s="70">
        <f>'Detalle metas'!AQ5</f>
        <v>7</v>
      </c>
      <c r="S33" s="71"/>
      <c r="T33" s="72">
        <f t="shared" si="42"/>
        <v>0</v>
      </c>
      <c r="U33" s="70">
        <f>'Detalle metas'!AR5</f>
        <v>5</v>
      </c>
      <c r="V33" s="71"/>
      <c r="W33" s="72">
        <f t="shared" si="43"/>
        <v>0</v>
      </c>
      <c r="X33" s="70">
        <f>'Detalle metas'!AS5</f>
        <v>0</v>
      </c>
      <c r="Y33" s="71"/>
      <c r="Z33" s="72">
        <f t="shared" si="44"/>
        <v>0</v>
      </c>
    </row>
    <row r="34" spans="1:26">
      <c r="A34" s="67" t="s">
        <v>76</v>
      </c>
      <c r="B34" s="67" t="s">
        <v>81</v>
      </c>
      <c r="C34" s="68">
        <f>'Detalle metas'!AL6</f>
        <v>300</v>
      </c>
      <c r="D34" s="68">
        <f t="shared" si="36"/>
        <v>0</v>
      </c>
      <c r="E34" s="69">
        <f t="shared" si="37"/>
        <v>0</v>
      </c>
      <c r="F34" s="70">
        <f>'Detalle metas'!AM6</f>
        <v>0</v>
      </c>
      <c r="G34" s="71"/>
      <c r="H34" s="72">
        <f t="shared" si="38"/>
        <v>0</v>
      </c>
      <c r="I34" s="70">
        <f>'Detalle metas'!AN6</f>
        <v>30</v>
      </c>
      <c r="J34" s="71"/>
      <c r="K34" s="72">
        <f t="shared" si="39"/>
        <v>0</v>
      </c>
      <c r="L34" s="70">
        <f>'Detalle metas'!AO6</f>
        <v>60</v>
      </c>
      <c r="M34" s="71"/>
      <c r="N34" s="72">
        <f t="shared" si="40"/>
        <v>0</v>
      </c>
      <c r="O34" s="70">
        <f>'Detalle metas'!AP6</f>
        <v>75</v>
      </c>
      <c r="P34" s="71"/>
      <c r="Q34" s="72">
        <f t="shared" si="41"/>
        <v>0</v>
      </c>
      <c r="R34" s="70">
        <f>'Detalle metas'!AQ6</f>
        <v>75</v>
      </c>
      <c r="S34" s="71"/>
      <c r="T34" s="72">
        <f t="shared" si="42"/>
        <v>0</v>
      </c>
      <c r="U34" s="70">
        <f>'Detalle metas'!AR6</f>
        <v>60</v>
      </c>
      <c r="V34" s="71"/>
      <c r="W34" s="72">
        <f t="shared" si="43"/>
        <v>0</v>
      </c>
      <c r="X34" s="70">
        <f>'Detalle metas'!AS6</f>
        <v>0</v>
      </c>
      <c r="Y34" s="71"/>
      <c r="Z34" s="72">
        <f t="shared" si="44"/>
        <v>0</v>
      </c>
    </row>
    <row r="35" spans="1:26">
      <c r="A35" s="67" t="s">
        <v>76</v>
      </c>
      <c r="B35" s="67" t="s">
        <v>82</v>
      </c>
      <c r="C35" s="68">
        <f>'Detalle metas'!AL7</f>
        <v>1200</v>
      </c>
      <c r="D35" s="68">
        <f t="shared" ref="D35" si="45">SUM(G35,J35,M35,P35,S35,V35,Y35)</f>
        <v>0</v>
      </c>
      <c r="E35" s="69">
        <f t="shared" ref="E35" si="46">IFERROR(D35/C35,0)</f>
        <v>0</v>
      </c>
      <c r="F35" s="70">
        <f>'Detalle metas'!AM7</f>
        <v>0</v>
      </c>
      <c r="G35" s="71"/>
      <c r="H35" s="72">
        <f t="shared" ref="H35" si="47">IFERROR(G35/F35,0)</f>
        <v>0</v>
      </c>
      <c r="I35" s="70">
        <f>'Detalle metas'!AN7</f>
        <v>120</v>
      </c>
      <c r="J35" s="71">
        <f>J34*4</f>
        <v>0</v>
      </c>
      <c r="K35" s="72">
        <f t="shared" ref="K35" si="48">IFERROR(J35/I35,0)</f>
        <v>0</v>
      </c>
      <c r="L35" s="70">
        <f>'Detalle metas'!AO7</f>
        <v>240</v>
      </c>
      <c r="M35" s="71">
        <f>M34*4</f>
        <v>0</v>
      </c>
      <c r="N35" s="72">
        <f t="shared" ref="N35" si="49">IFERROR(M35/L35,0)</f>
        <v>0</v>
      </c>
      <c r="O35" s="70">
        <f>'Detalle metas'!AP7</f>
        <v>300</v>
      </c>
      <c r="P35" s="71">
        <f>P34*4</f>
        <v>0</v>
      </c>
      <c r="Q35" s="72">
        <f t="shared" ref="Q35" si="50">IFERROR(P35/O35,0)</f>
        <v>0</v>
      </c>
      <c r="R35" s="70">
        <f>'Detalle metas'!AQ7</f>
        <v>300</v>
      </c>
      <c r="S35" s="71">
        <f>S34*4</f>
        <v>0</v>
      </c>
      <c r="T35" s="72">
        <f t="shared" ref="T35" si="51">IFERROR(S35/R35,0)</f>
        <v>0</v>
      </c>
      <c r="U35" s="70">
        <f>'Detalle metas'!AR7</f>
        <v>240</v>
      </c>
      <c r="V35" s="71">
        <f>V34*4</f>
        <v>0</v>
      </c>
      <c r="W35" s="72">
        <f t="shared" ref="W35" si="52">IFERROR(V35/U35,0)</f>
        <v>0</v>
      </c>
      <c r="X35" s="70">
        <f>'Detalle metas'!AS7</f>
        <v>0</v>
      </c>
      <c r="Y35" s="71">
        <f>Y34*4</f>
        <v>0</v>
      </c>
      <c r="Z35" s="72">
        <f t="shared" ref="Z35" si="53">IFERROR(Y35/X35,0)</f>
        <v>0</v>
      </c>
    </row>
    <row r="36" spans="1:26">
      <c r="A36" s="67" t="s">
        <v>76</v>
      </c>
      <c r="B36" s="67" t="s">
        <v>83</v>
      </c>
      <c r="C36" s="68">
        <f>'Detalle metas'!AL8</f>
        <v>1</v>
      </c>
      <c r="D36" s="68">
        <f t="shared" si="36"/>
        <v>0</v>
      </c>
      <c r="E36" s="69">
        <f t="shared" si="37"/>
        <v>0</v>
      </c>
      <c r="F36" s="70">
        <f>'Detalle metas'!AM8</f>
        <v>0</v>
      </c>
      <c r="G36" s="71"/>
      <c r="H36" s="72">
        <f t="shared" si="38"/>
        <v>0</v>
      </c>
      <c r="I36" s="70">
        <f>'Detalle metas'!AN8</f>
        <v>0</v>
      </c>
      <c r="J36" s="71"/>
      <c r="K36" s="72">
        <f t="shared" si="39"/>
        <v>0</v>
      </c>
      <c r="L36" s="70">
        <f>'Detalle metas'!AO8</f>
        <v>0</v>
      </c>
      <c r="M36" s="71"/>
      <c r="N36" s="72">
        <f t="shared" si="40"/>
        <v>0</v>
      </c>
      <c r="O36" s="70">
        <f>'Detalle metas'!AP8</f>
        <v>1</v>
      </c>
      <c r="P36" s="71"/>
      <c r="Q36" s="72">
        <f t="shared" si="41"/>
        <v>0</v>
      </c>
      <c r="R36" s="70">
        <f>'Detalle metas'!AQ8</f>
        <v>0</v>
      </c>
      <c r="S36" s="71"/>
      <c r="T36" s="72">
        <f t="shared" si="42"/>
        <v>0</v>
      </c>
      <c r="U36" s="70">
        <f>'Detalle metas'!AR8</f>
        <v>0</v>
      </c>
      <c r="V36" s="71"/>
      <c r="W36" s="72">
        <f t="shared" si="43"/>
        <v>0</v>
      </c>
      <c r="X36" s="70">
        <f>'Detalle metas'!AS8</f>
        <v>0</v>
      </c>
      <c r="Y36" s="71"/>
      <c r="Z36" s="72">
        <f t="shared" si="44"/>
        <v>0</v>
      </c>
    </row>
    <row r="37" spans="1:26">
      <c r="A37" s="67" t="s">
        <v>76</v>
      </c>
      <c r="B37" s="67" t="s">
        <v>84</v>
      </c>
      <c r="C37" s="68">
        <f>'Detalle metas'!AL9</f>
        <v>450</v>
      </c>
      <c r="D37" s="68">
        <f t="shared" si="36"/>
        <v>0</v>
      </c>
      <c r="E37" s="69">
        <f t="shared" si="37"/>
        <v>0</v>
      </c>
      <c r="F37" s="70">
        <f>'Detalle metas'!AM9</f>
        <v>0</v>
      </c>
      <c r="G37" s="71"/>
      <c r="H37" s="72">
        <f t="shared" si="38"/>
        <v>0</v>
      </c>
      <c r="I37" s="70">
        <f>'Detalle metas'!AN9</f>
        <v>0</v>
      </c>
      <c r="J37" s="71"/>
      <c r="K37" s="72">
        <f t="shared" si="39"/>
        <v>0</v>
      </c>
      <c r="L37" s="70">
        <f>'Detalle metas'!AO9</f>
        <v>0</v>
      </c>
      <c r="M37" s="71"/>
      <c r="N37" s="72">
        <f t="shared" si="40"/>
        <v>0</v>
      </c>
      <c r="O37" s="70">
        <f>'Detalle metas'!AP9</f>
        <v>90</v>
      </c>
      <c r="P37" s="71"/>
      <c r="Q37" s="72">
        <f t="shared" si="41"/>
        <v>0</v>
      </c>
      <c r="R37" s="70">
        <f>'Detalle metas'!AQ9</f>
        <v>180</v>
      </c>
      <c r="S37" s="71"/>
      <c r="T37" s="72">
        <f t="shared" si="42"/>
        <v>0</v>
      </c>
      <c r="U37" s="70">
        <f>'Detalle metas'!AR9</f>
        <v>180</v>
      </c>
      <c r="V37" s="71"/>
      <c r="W37" s="72">
        <f t="shared" si="43"/>
        <v>0</v>
      </c>
      <c r="X37" s="70">
        <f>'Detalle metas'!AS9</f>
        <v>0</v>
      </c>
      <c r="Y37" s="71"/>
      <c r="Z37" s="72">
        <f t="shared" si="44"/>
        <v>0</v>
      </c>
    </row>
    <row r="39" spans="1:26" ht="21.75" customHeight="1">
      <c r="A39" s="177" t="s">
        <v>109</v>
      </c>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row>
    <row r="40" spans="1:26" ht="19.5" customHeight="1">
      <c r="A40" s="178" t="s">
        <v>56</v>
      </c>
      <c r="B40" s="178" t="s">
        <v>57</v>
      </c>
      <c r="C40" s="178" t="s">
        <v>97</v>
      </c>
      <c r="D40" s="178"/>
      <c r="E40" s="178"/>
      <c r="F40" s="178" t="s">
        <v>61</v>
      </c>
      <c r="G40" s="178"/>
      <c r="H40" s="178"/>
      <c r="I40" s="178" t="s">
        <v>62</v>
      </c>
      <c r="J40" s="178"/>
      <c r="K40" s="178"/>
      <c r="L40" s="178" t="s">
        <v>63</v>
      </c>
      <c r="M40" s="178"/>
      <c r="N40" s="178"/>
      <c r="O40" s="178" t="s">
        <v>64</v>
      </c>
      <c r="P40" s="178"/>
      <c r="Q40" s="178"/>
      <c r="R40" s="178" t="s">
        <v>65</v>
      </c>
      <c r="S40" s="178"/>
      <c r="T40" s="178"/>
      <c r="U40" s="178" t="s">
        <v>66</v>
      </c>
      <c r="V40" s="178"/>
      <c r="W40" s="178"/>
      <c r="X40" s="178" t="s">
        <v>67</v>
      </c>
      <c r="Y40" s="178"/>
      <c r="Z40" s="178"/>
    </row>
    <row r="41" spans="1:26" ht="21.75" customHeight="1">
      <c r="A41" s="178"/>
      <c r="B41" s="178"/>
      <c r="C41" s="1" t="s">
        <v>98</v>
      </c>
      <c r="D41" s="1" t="s">
        <v>99</v>
      </c>
      <c r="E41" s="1" t="s">
        <v>100</v>
      </c>
      <c r="F41" s="1" t="s">
        <v>98</v>
      </c>
      <c r="G41" s="1" t="s">
        <v>99</v>
      </c>
      <c r="H41" s="1" t="s">
        <v>100</v>
      </c>
      <c r="I41" s="1" t="s">
        <v>98</v>
      </c>
      <c r="J41" s="1" t="s">
        <v>99</v>
      </c>
      <c r="K41" s="1" t="s">
        <v>100</v>
      </c>
      <c r="L41" s="1" t="s">
        <v>98</v>
      </c>
      <c r="M41" s="1" t="s">
        <v>99</v>
      </c>
      <c r="N41" s="1" t="s">
        <v>100</v>
      </c>
      <c r="O41" s="1" t="s">
        <v>98</v>
      </c>
      <c r="P41" s="1" t="s">
        <v>99</v>
      </c>
      <c r="Q41" s="1" t="s">
        <v>100</v>
      </c>
      <c r="R41" s="1" t="s">
        <v>98</v>
      </c>
      <c r="S41" s="1" t="s">
        <v>99</v>
      </c>
      <c r="T41" s="1" t="s">
        <v>100</v>
      </c>
      <c r="U41" s="1" t="s">
        <v>98</v>
      </c>
      <c r="V41" s="1" t="s">
        <v>99</v>
      </c>
      <c r="W41" s="1" t="s">
        <v>100</v>
      </c>
      <c r="X41" s="1" t="s">
        <v>98</v>
      </c>
      <c r="Y41" s="1" t="s">
        <v>99</v>
      </c>
      <c r="Z41" s="1" t="s">
        <v>100</v>
      </c>
    </row>
    <row r="42" spans="1:26">
      <c r="A42" s="67" t="s">
        <v>76</v>
      </c>
      <c r="B42" s="67" t="s">
        <v>77</v>
      </c>
      <c r="C42" s="68">
        <f>'Detalle metas'!AT2</f>
        <v>160</v>
      </c>
      <c r="D42" s="68">
        <f t="shared" ref="D42:D49" si="54">SUM(G42,J42,M42,P42,S42,V42,Y42)</f>
        <v>0</v>
      </c>
      <c r="E42" s="69">
        <f t="shared" ref="E42:E49" si="55">IFERROR(D42/C42,0)</f>
        <v>0</v>
      </c>
      <c r="F42" s="70">
        <f>'Detalle metas'!AU2</f>
        <v>0</v>
      </c>
      <c r="G42" s="71"/>
      <c r="H42" s="72">
        <f t="shared" ref="H42:H49" si="56">IFERROR(G42/F42,0)</f>
        <v>0</v>
      </c>
      <c r="I42" s="70">
        <f>'Detalle metas'!AV2</f>
        <v>16</v>
      </c>
      <c r="J42" s="71"/>
      <c r="K42" s="72">
        <f t="shared" ref="K42:K49" si="57">IFERROR(J42/I42,0)</f>
        <v>0</v>
      </c>
      <c r="L42" s="70">
        <f>'Detalle metas'!AW2</f>
        <v>36</v>
      </c>
      <c r="M42" s="71"/>
      <c r="N42" s="72">
        <f t="shared" ref="N42:N49" si="58">IFERROR(M42/L42,0)</f>
        <v>0</v>
      </c>
      <c r="O42" s="70">
        <f>'Detalle metas'!AX2</f>
        <v>36</v>
      </c>
      <c r="P42" s="71"/>
      <c r="Q42" s="72">
        <f t="shared" ref="Q42:Q49" si="59">IFERROR(P42/O42,0)</f>
        <v>0</v>
      </c>
      <c r="R42" s="70">
        <f>'Detalle metas'!AY2</f>
        <v>36</v>
      </c>
      <c r="S42" s="71"/>
      <c r="T42" s="72">
        <f t="shared" ref="T42:T49" si="60">IFERROR(S42/R42,0)</f>
        <v>0</v>
      </c>
      <c r="U42" s="70">
        <f>'Detalle metas'!AZ2</f>
        <v>36</v>
      </c>
      <c r="V42" s="71"/>
      <c r="W42" s="72">
        <f t="shared" ref="W42:W49" si="61">IFERROR(V42/U42,0)</f>
        <v>0</v>
      </c>
      <c r="X42" s="70">
        <f>'Detalle metas'!BA2</f>
        <v>0</v>
      </c>
      <c r="Y42" s="71"/>
      <c r="Z42" s="72">
        <f t="shared" ref="Z42:Z49" si="62">IFERROR(Y42/X42,0)</f>
        <v>0</v>
      </c>
    </row>
    <row r="43" spans="1:26">
      <c r="A43" s="67" t="s">
        <v>76</v>
      </c>
      <c r="B43" s="67" t="s">
        <v>78</v>
      </c>
      <c r="C43" s="68">
        <f>'Detalle metas'!AT3</f>
        <v>640</v>
      </c>
      <c r="D43" s="68">
        <f t="shared" si="54"/>
        <v>0</v>
      </c>
      <c r="E43" s="69">
        <f t="shared" si="55"/>
        <v>0</v>
      </c>
      <c r="F43" s="70">
        <f>'Detalle metas'!AU3</f>
        <v>0</v>
      </c>
      <c r="G43" s="71"/>
      <c r="H43" s="72">
        <f t="shared" si="56"/>
        <v>0</v>
      </c>
      <c r="I43" s="70">
        <f>'Detalle metas'!AV3</f>
        <v>64</v>
      </c>
      <c r="J43" s="71"/>
      <c r="K43" s="72">
        <f t="shared" si="57"/>
        <v>0</v>
      </c>
      <c r="L43" s="70">
        <f>'Detalle metas'!AW3</f>
        <v>144</v>
      </c>
      <c r="M43" s="71"/>
      <c r="N43" s="72">
        <f t="shared" si="58"/>
        <v>0</v>
      </c>
      <c r="O43" s="70">
        <f>'Detalle metas'!AX3</f>
        <v>144</v>
      </c>
      <c r="P43" s="71"/>
      <c r="Q43" s="72">
        <f t="shared" si="59"/>
        <v>0</v>
      </c>
      <c r="R43" s="70">
        <f>'Detalle metas'!AY3</f>
        <v>144</v>
      </c>
      <c r="S43" s="71"/>
      <c r="T43" s="72">
        <f t="shared" si="60"/>
        <v>0</v>
      </c>
      <c r="U43" s="70">
        <f>'Detalle metas'!AZ3</f>
        <v>144</v>
      </c>
      <c r="V43" s="71"/>
      <c r="W43" s="72">
        <f t="shared" si="61"/>
        <v>0</v>
      </c>
      <c r="X43" s="70">
        <f>'Detalle metas'!BA3</f>
        <v>0</v>
      </c>
      <c r="Y43" s="71"/>
      <c r="Z43" s="72">
        <f t="shared" si="62"/>
        <v>0</v>
      </c>
    </row>
    <row r="44" spans="1:26">
      <c r="A44" s="67" t="s">
        <v>76</v>
      </c>
      <c r="B44" s="67" t="s">
        <v>79</v>
      </c>
      <c r="C44" s="68">
        <f>'Detalle metas'!AT4</f>
        <v>96</v>
      </c>
      <c r="D44" s="68">
        <f t="shared" si="54"/>
        <v>0</v>
      </c>
      <c r="E44" s="69">
        <f t="shared" si="55"/>
        <v>0</v>
      </c>
      <c r="F44" s="70">
        <f>'Detalle metas'!AU4</f>
        <v>0</v>
      </c>
      <c r="G44" s="71"/>
      <c r="H44" s="72">
        <f t="shared" si="56"/>
        <v>0</v>
      </c>
      <c r="I44" s="70">
        <f>'Detalle metas'!AV4</f>
        <v>16</v>
      </c>
      <c r="J44" s="71"/>
      <c r="K44" s="72">
        <f t="shared" si="57"/>
        <v>0</v>
      </c>
      <c r="L44" s="70">
        <f>'Detalle metas'!AW4</f>
        <v>20</v>
      </c>
      <c r="M44" s="71"/>
      <c r="N44" s="72">
        <f t="shared" si="58"/>
        <v>0</v>
      </c>
      <c r="O44" s="70">
        <f>'Detalle metas'!AX4</f>
        <v>20</v>
      </c>
      <c r="P44" s="71"/>
      <c r="Q44" s="72">
        <f t="shared" si="59"/>
        <v>0</v>
      </c>
      <c r="R44" s="70">
        <f>'Detalle metas'!AY4</f>
        <v>20</v>
      </c>
      <c r="S44" s="71"/>
      <c r="T44" s="72">
        <f t="shared" si="60"/>
        <v>0</v>
      </c>
      <c r="U44" s="70">
        <f>'Detalle metas'!AZ4</f>
        <v>20</v>
      </c>
      <c r="V44" s="71"/>
      <c r="W44" s="72">
        <f t="shared" si="61"/>
        <v>0</v>
      </c>
      <c r="X44" s="70">
        <f>'Detalle metas'!BA4</f>
        <v>0</v>
      </c>
      <c r="Y44" s="71"/>
      <c r="Z44" s="72">
        <f t="shared" si="62"/>
        <v>0</v>
      </c>
    </row>
    <row r="45" spans="1:26">
      <c r="A45" s="67" t="s">
        <v>76</v>
      </c>
      <c r="B45" s="67" t="s">
        <v>80</v>
      </c>
      <c r="C45" s="68">
        <f>'Detalle metas'!AT5</f>
        <v>28</v>
      </c>
      <c r="D45" s="68">
        <f t="shared" si="54"/>
        <v>0</v>
      </c>
      <c r="E45" s="69">
        <f t="shared" si="55"/>
        <v>0</v>
      </c>
      <c r="F45" s="70">
        <f>'Detalle metas'!AU5</f>
        <v>0</v>
      </c>
      <c r="G45" s="71"/>
      <c r="H45" s="72">
        <f t="shared" si="56"/>
        <v>0</v>
      </c>
      <c r="I45" s="70">
        <f>'Detalle metas'!AV5</f>
        <v>3</v>
      </c>
      <c r="J45" s="71"/>
      <c r="K45" s="72">
        <f t="shared" si="57"/>
        <v>0</v>
      </c>
      <c r="L45" s="70">
        <f>'Detalle metas'!AW5</f>
        <v>7</v>
      </c>
      <c r="M45" s="71"/>
      <c r="N45" s="72">
        <f t="shared" si="58"/>
        <v>0</v>
      </c>
      <c r="O45" s="70">
        <f>'Detalle metas'!AX5</f>
        <v>7</v>
      </c>
      <c r="P45" s="71"/>
      <c r="Q45" s="72">
        <f t="shared" si="59"/>
        <v>0</v>
      </c>
      <c r="R45" s="70">
        <f>'Detalle metas'!AY5</f>
        <v>7</v>
      </c>
      <c r="S45" s="71"/>
      <c r="T45" s="72">
        <f t="shared" si="60"/>
        <v>0</v>
      </c>
      <c r="U45" s="70">
        <f>'Detalle metas'!AZ5</f>
        <v>4</v>
      </c>
      <c r="V45" s="71"/>
      <c r="W45" s="72">
        <f t="shared" si="61"/>
        <v>0</v>
      </c>
      <c r="X45" s="70">
        <f>'Detalle metas'!BA5</f>
        <v>0</v>
      </c>
      <c r="Y45" s="71"/>
      <c r="Z45" s="72">
        <f t="shared" si="62"/>
        <v>0</v>
      </c>
    </row>
    <row r="46" spans="1:26">
      <c r="A46" s="67" t="s">
        <v>76</v>
      </c>
      <c r="B46" s="67" t="s">
        <v>81</v>
      </c>
      <c r="C46" s="68">
        <f>'Detalle metas'!AT6</f>
        <v>300</v>
      </c>
      <c r="D46" s="68">
        <f t="shared" si="54"/>
        <v>0</v>
      </c>
      <c r="E46" s="69">
        <f t="shared" si="55"/>
        <v>0</v>
      </c>
      <c r="F46" s="70">
        <f>'Detalle metas'!AU6</f>
        <v>0</v>
      </c>
      <c r="G46" s="71"/>
      <c r="H46" s="72">
        <f t="shared" si="56"/>
        <v>0</v>
      </c>
      <c r="I46" s="70">
        <f>'Detalle metas'!AV6</f>
        <v>30</v>
      </c>
      <c r="J46" s="71"/>
      <c r="K46" s="72">
        <f t="shared" si="57"/>
        <v>0</v>
      </c>
      <c r="L46" s="70">
        <f>'Detalle metas'!AW6</f>
        <v>60</v>
      </c>
      <c r="M46" s="71"/>
      <c r="N46" s="72">
        <f t="shared" si="58"/>
        <v>0</v>
      </c>
      <c r="O46" s="70">
        <f>'Detalle metas'!AX6</f>
        <v>75</v>
      </c>
      <c r="P46" s="71"/>
      <c r="Q46" s="72">
        <f t="shared" si="59"/>
        <v>0</v>
      </c>
      <c r="R46" s="70">
        <f>'Detalle metas'!AY6</f>
        <v>75</v>
      </c>
      <c r="S46" s="71"/>
      <c r="T46" s="72">
        <f t="shared" si="60"/>
        <v>0</v>
      </c>
      <c r="U46" s="70">
        <f>'Detalle metas'!AZ6</f>
        <v>60</v>
      </c>
      <c r="V46" s="71"/>
      <c r="W46" s="72">
        <f t="shared" si="61"/>
        <v>0</v>
      </c>
      <c r="X46" s="70">
        <f>'Detalle metas'!BA6</f>
        <v>0</v>
      </c>
      <c r="Y46" s="71"/>
      <c r="Z46" s="72">
        <f t="shared" si="62"/>
        <v>0</v>
      </c>
    </row>
    <row r="47" spans="1:26">
      <c r="A47" s="67" t="s">
        <v>76</v>
      </c>
      <c r="B47" s="67" t="s">
        <v>82</v>
      </c>
      <c r="C47" s="68">
        <f>'Detalle metas'!AT7</f>
        <v>1200</v>
      </c>
      <c r="D47" s="68">
        <f t="shared" ref="D47" si="63">SUM(G47,J47,M47,P47,S47,V47,Y47)</f>
        <v>0</v>
      </c>
      <c r="E47" s="69">
        <f t="shared" ref="E47" si="64">IFERROR(D47/C47,0)</f>
        <v>0</v>
      </c>
      <c r="F47" s="70">
        <f>'Detalle metas'!AU7</f>
        <v>0</v>
      </c>
      <c r="G47" s="71"/>
      <c r="H47" s="72">
        <f t="shared" ref="H47" si="65">IFERROR(G47/F47,0)</f>
        <v>0</v>
      </c>
      <c r="I47" s="70">
        <f>'Detalle metas'!AV7</f>
        <v>120</v>
      </c>
      <c r="J47" s="71">
        <f>J46*4</f>
        <v>0</v>
      </c>
      <c r="K47" s="72">
        <f t="shared" ref="K47" si="66">IFERROR(J47/I47,0)</f>
        <v>0</v>
      </c>
      <c r="L47" s="70">
        <f>'Detalle metas'!AW7</f>
        <v>240</v>
      </c>
      <c r="M47" s="71">
        <f>M46*4</f>
        <v>0</v>
      </c>
      <c r="N47" s="72">
        <f t="shared" ref="N47" si="67">IFERROR(M47/L47,0)</f>
        <v>0</v>
      </c>
      <c r="O47" s="70">
        <f>'Detalle metas'!AX7</f>
        <v>300</v>
      </c>
      <c r="P47" s="71">
        <f>P46*4</f>
        <v>0</v>
      </c>
      <c r="Q47" s="72">
        <f t="shared" ref="Q47" si="68">IFERROR(P47/O47,0)</f>
        <v>0</v>
      </c>
      <c r="R47" s="70">
        <f>'Detalle metas'!AY7</f>
        <v>300</v>
      </c>
      <c r="S47" s="71">
        <f>S46*4</f>
        <v>0</v>
      </c>
      <c r="T47" s="72">
        <f t="shared" ref="T47" si="69">IFERROR(S47/R47,0)</f>
        <v>0</v>
      </c>
      <c r="U47" s="70">
        <f>'Detalle metas'!AZ7</f>
        <v>240</v>
      </c>
      <c r="V47" s="71">
        <f>V46*4</f>
        <v>0</v>
      </c>
      <c r="W47" s="72">
        <f t="shared" ref="W47" si="70">IFERROR(V47/U47,0)</f>
        <v>0</v>
      </c>
      <c r="X47" s="70">
        <f>'Detalle metas'!BA7</f>
        <v>0</v>
      </c>
      <c r="Y47" s="71">
        <f>Y46*4</f>
        <v>0</v>
      </c>
      <c r="Z47" s="72">
        <f t="shared" ref="Z47" si="71">IFERROR(Y47/X47,0)</f>
        <v>0</v>
      </c>
    </row>
    <row r="48" spans="1:26">
      <c r="A48" s="67" t="s">
        <v>76</v>
      </c>
      <c r="B48" s="67" t="s">
        <v>83</v>
      </c>
      <c r="C48" s="68">
        <f>'Detalle metas'!AT8</f>
        <v>1</v>
      </c>
      <c r="D48" s="68">
        <f t="shared" si="54"/>
        <v>0</v>
      </c>
      <c r="E48" s="69">
        <f t="shared" si="55"/>
        <v>0</v>
      </c>
      <c r="F48" s="70">
        <f>'Detalle metas'!AU8</f>
        <v>0</v>
      </c>
      <c r="G48" s="71"/>
      <c r="H48" s="72">
        <f t="shared" si="56"/>
        <v>0</v>
      </c>
      <c r="I48" s="70">
        <f>'Detalle metas'!AV8</f>
        <v>0</v>
      </c>
      <c r="J48" s="71"/>
      <c r="K48" s="72">
        <f t="shared" si="57"/>
        <v>0</v>
      </c>
      <c r="L48" s="70">
        <f>'Detalle metas'!AW8</f>
        <v>0</v>
      </c>
      <c r="M48" s="71"/>
      <c r="N48" s="72">
        <f t="shared" si="58"/>
        <v>0</v>
      </c>
      <c r="O48" s="70">
        <f>'Detalle metas'!AX8</f>
        <v>1</v>
      </c>
      <c r="P48" s="71"/>
      <c r="Q48" s="72">
        <f t="shared" si="59"/>
        <v>0</v>
      </c>
      <c r="R48" s="70">
        <f>'Detalle metas'!AY8</f>
        <v>0</v>
      </c>
      <c r="S48" s="71"/>
      <c r="T48" s="72">
        <f t="shared" si="60"/>
        <v>0</v>
      </c>
      <c r="U48" s="70">
        <f>'Detalle metas'!AZ8</f>
        <v>0</v>
      </c>
      <c r="V48" s="71"/>
      <c r="W48" s="72">
        <f t="shared" si="61"/>
        <v>0</v>
      </c>
      <c r="X48" s="70">
        <f>'Detalle metas'!BA8</f>
        <v>0</v>
      </c>
      <c r="Y48" s="71"/>
      <c r="Z48" s="72">
        <f t="shared" si="62"/>
        <v>0</v>
      </c>
    </row>
    <row r="49" spans="1:26">
      <c r="A49" s="67" t="s">
        <v>76</v>
      </c>
      <c r="B49" s="67" t="s">
        <v>84</v>
      </c>
      <c r="C49" s="68">
        <f>'Detalle metas'!AT9</f>
        <v>450</v>
      </c>
      <c r="D49" s="68">
        <f t="shared" si="54"/>
        <v>0</v>
      </c>
      <c r="E49" s="69">
        <f t="shared" si="55"/>
        <v>0</v>
      </c>
      <c r="F49" s="70">
        <f>'Detalle metas'!AU9</f>
        <v>0</v>
      </c>
      <c r="G49" s="71"/>
      <c r="H49" s="72">
        <f t="shared" si="56"/>
        <v>0</v>
      </c>
      <c r="I49" s="70">
        <f>'Detalle metas'!AV9</f>
        <v>0</v>
      </c>
      <c r="J49" s="71"/>
      <c r="K49" s="72">
        <f t="shared" si="57"/>
        <v>0</v>
      </c>
      <c r="L49" s="70">
        <f>'Detalle metas'!AW9</f>
        <v>0</v>
      </c>
      <c r="M49" s="71"/>
      <c r="N49" s="72">
        <f t="shared" si="58"/>
        <v>0</v>
      </c>
      <c r="O49" s="70">
        <f>'Detalle metas'!AX9</f>
        <v>90</v>
      </c>
      <c r="P49" s="71"/>
      <c r="Q49" s="72">
        <f t="shared" si="59"/>
        <v>0</v>
      </c>
      <c r="R49" s="70">
        <f>'Detalle metas'!AY9</f>
        <v>180</v>
      </c>
      <c r="S49" s="71"/>
      <c r="T49" s="72">
        <f t="shared" si="60"/>
        <v>0</v>
      </c>
      <c r="U49" s="70">
        <f>'Detalle metas'!AZ9</f>
        <v>180</v>
      </c>
      <c r="V49" s="71"/>
      <c r="W49" s="72">
        <f t="shared" si="61"/>
        <v>0</v>
      </c>
      <c r="X49" s="70">
        <f>'Detalle metas'!BA9</f>
        <v>0</v>
      </c>
      <c r="Y49" s="71"/>
      <c r="Z49" s="72">
        <f t="shared" si="62"/>
        <v>0</v>
      </c>
    </row>
    <row r="51" spans="1:26" ht="21.75" customHeight="1">
      <c r="A51" s="177" t="s">
        <v>110</v>
      </c>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spans="1:26" ht="19.5" customHeight="1">
      <c r="A52" s="178" t="s">
        <v>56</v>
      </c>
      <c r="B52" s="178" t="s">
        <v>57</v>
      </c>
      <c r="C52" s="178" t="s">
        <v>97</v>
      </c>
      <c r="D52" s="178"/>
      <c r="E52" s="178"/>
      <c r="F52" s="178" t="s">
        <v>61</v>
      </c>
      <c r="G52" s="178"/>
      <c r="H52" s="178"/>
      <c r="I52" s="178" t="s">
        <v>62</v>
      </c>
      <c r="J52" s="178"/>
      <c r="K52" s="178"/>
      <c r="L52" s="178" t="s">
        <v>63</v>
      </c>
      <c r="M52" s="178"/>
      <c r="N52" s="178"/>
      <c r="O52" s="178" t="s">
        <v>64</v>
      </c>
      <c r="P52" s="178"/>
      <c r="Q52" s="178"/>
      <c r="R52" s="178" t="s">
        <v>65</v>
      </c>
      <c r="S52" s="178"/>
      <c r="T52" s="178"/>
      <c r="U52" s="178" t="s">
        <v>66</v>
      </c>
      <c r="V52" s="178"/>
      <c r="W52" s="178"/>
      <c r="X52" s="178" t="s">
        <v>67</v>
      </c>
      <c r="Y52" s="178"/>
      <c r="Z52" s="178"/>
    </row>
    <row r="53" spans="1:26" ht="21.75" customHeight="1">
      <c r="A53" s="178"/>
      <c r="B53" s="178"/>
      <c r="C53" s="1" t="s">
        <v>98</v>
      </c>
      <c r="D53" s="1" t="s">
        <v>99</v>
      </c>
      <c r="E53" s="1" t="s">
        <v>100</v>
      </c>
      <c r="F53" s="1" t="s">
        <v>98</v>
      </c>
      <c r="G53" s="1" t="s">
        <v>99</v>
      </c>
      <c r="H53" s="1" t="s">
        <v>100</v>
      </c>
      <c r="I53" s="1" t="s">
        <v>98</v>
      </c>
      <c r="J53" s="1" t="s">
        <v>99</v>
      </c>
      <c r="K53" s="1" t="s">
        <v>100</v>
      </c>
      <c r="L53" s="1" t="s">
        <v>98</v>
      </c>
      <c r="M53" s="1" t="s">
        <v>99</v>
      </c>
      <c r="N53" s="1" t="s">
        <v>100</v>
      </c>
      <c r="O53" s="1" t="s">
        <v>98</v>
      </c>
      <c r="P53" s="1" t="s">
        <v>99</v>
      </c>
      <c r="Q53" s="1" t="s">
        <v>100</v>
      </c>
      <c r="R53" s="1" t="s">
        <v>98</v>
      </c>
      <c r="S53" s="1" t="s">
        <v>99</v>
      </c>
      <c r="T53" s="1" t="s">
        <v>100</v>
      </c>
      <c r="U53" s="1" t="s">
        <v>98</v>
      </c>
      <c r="V53" s="1" t="s">
        <v>99</v>
      </c>
      <c r="W53" s="1" t="s">
        <v>100</v>
      </c>
      <c r="X53" s="1" t="s">
        <v>98</v>
      </c>
      <c r="Y53" s="1" t="s">
        <v>99</v>
      </c>
      <c r="Z53" s="1" t="s">
        <v>100</v>
      </c>
    </row>
    <row r="54" spans="1:26">
      <c r="A54" s="67" t="s">
        <v>76</v>
      </c>
      <c r="B54" s="67" t="s">
        <v>77</v>
      </c>
      <c r="C54" s="68">
        <f>'Detalle metas'!BB2</f>
        <v>160</v>
      </c>
      <c r="D54" s="68">
        <f t="shared" ref="D54:D61" si="72">SUM(G54,J54,M54,P54,S54,V54,Y54)</f>
        <v>0</v>
      </c>
      <c r="E54" s="69">
        <f t="shared" ref="E54:E61" si="73">IFERROR(D54/C54,0)</f>
        <v>0</v>
      </c>
      <c r="F54" s="70">
        <f>'Detalle metas'!BC2</f>
        <v>0</v>
      </c>
      <c r="G54" s="71"/>
      <c r="H54" s="72">
        <f t="shared" ref="H54:H61" si="74">IFERROR(G54/F54,0)</f>
        <v>0</v>
      </c>
      <c r="I54" s="70">
        <f>'Detalle metas'!BD2</f>
        <v>16</v>
      </c>
      <c r="J54" s="71"/>
      <c r="K54" s="72">
        <f t="shared" ref="K54:K61" si="75">IFERROR(J54/I54,0)</f>
        <v>0</v>
      </c>
      <c r="L54" s="70">
        <f>'Detalle metas'!BE2</f>
        <v>36</v>
      </c>
      <c r="M54" s="71"/>
      <c r="N54" s="72">
        <f t="shared" ref="N54:N61" si="76">IFERROR(M54/L54,0)</f>
        <v>0</v>
      </c>
      <c r="O54" s="70">
        <f>'Detalle metas'!BF2</f>
        <v>36</v>
      </c>
      <c r="P54" s="71"/>
      <c r="Q54" s="72">
        <f t="shared" ref="Q54:Q61" si="77">IFERROR(P54/O54,0)</f>
        <v>0</v>
      </c>
      <c r="R54" s="70">
        <f>'Detalle metas'!BG2</f>
        <v>36</v>
      </c>
      <c r="S54" s="71"/>
      <c r="T54" s="72">
        <f t="shared" ref="T54:T61" si="78">IFERROR(S54/R54,0)</f>
        <v>0</v>
      </c>
      <c r="U54" s="70">
        <f>'Detalle metas'!BH2</f>
        <v>36</v>
      </c>
      <c r="V54" s="71"/>
      <c r="W54" s="72">
        <f t="shared" ref="W54:W61" si="79">IFERROR(V54/U54,0)</f>
        <v>0</v>
      </c>
      <c r="X54" s="70">
        <f>'Detalle metas'!BI2</f>
        <v>0</v>
      </c>
      <c r="Y54" s="71"/>
      <c r="Z54" s="72">
        <f t="shared" ref="Z54:Z61" si="80">IFERROR(Y54/X54,0)</f>
        <v>0</v>
      </c>
    </row>
    <row r="55" spans="1:26">
      <c r="A55" s="67" t="s">
        <v>76</v>
      </c>
      <c r="B55" s="67" t="s">
        <v>78</v>
      </c>
      <c r="C55" s="68">
        <f>'Detalle metas'!BB3</f>
        <v>640</v>
      </c>
      <c r="D55" s="68">
        <f t="shared" si="72"/>
        <v>0</v>
      </c>
      <c r="E55" s="69">
        <f t="shared" si="73"/>
        <v>0</v>
      </c>
      <c r="F55" s="70">
        <f>'Detalle metas'!BC3</f>
        <v>0</v>
      </c>
      <c r="G55" s="71"/>
      <c r="H55" s="72">
        <f t="shared" si="74"/>
        <v>0</v>
      </c>
      <c r="I55" s="70">
        <f>'Detalle metas'!BD3</f>
        <v>64</v>
      </c>
      <c r="J55" s="71"/>
      <c r="K55" s="72">
        <f t="shared" si="75"/>
        <v>0</v>
      </c>
      <c r="L55" s="70">
        <f>'Detalle metas'!BE3</f>
        <v>144</v>
      </c>
      <c r="M55" s="71"/>
      <c r="N55" s="72">
        <f t="shared" si="76"/>
        <v>0</v>
      </c>
      <c r="O55" s="70">
        <f>'Detalle metas'!BF3</f>
        <v>144</v>
      </c>
      <c r="P55" s="71"/>
      <c r="Q55" s="72">
        <f t="shared" si="77"/>
        <v>0</v>
      </c>
      <c r="R55" s="70">
        <f>'Detalle metas'!BG3</f>
        <v>144</v>
      </c>
      <c r="S55" s="71"/>
      <c r="T55" s="72">
        <f t="shared" si="78"/>
        <v>0</v>
      </c>
      <c r="U55" s="70">
        <f>'Detalle metas'!BH3</f>
        <v>144</v>
      </c>
      <c r="V55" s="71"/>
      <c r="W55" s="72">
        <f t="shared" si="79"/>
        <v>0</v>
      </c>
      <c r="X55" s="70">
        <f>'Detalle metas'!BI3</f>
        <v>0</v>
      </c>
      <c r="Y55" s="71"/>
      <c r="Z55" s="72">
        <f t="shared" si="80"/>
        <v>0</v>
      </c>
    </row>
    <row r="56" spans="1:26">
      <c r="A56" s="67" t="s">
        <v>76</v>
      </c>
      <c r="B56" s="67" t="s">
        <v>79</v>
      </c>
      <c r="C56" s="68">
        <f>'Detalle metas'!BB4</f>
        <v>96</v>
      </c>
      <c r="D56" s="68">
        <f t="shared" si="72"/>
        <v>0</v>
      </c>
      <c r="E56" s="69">
        <f t="shared" si="73"/>
        <v>0</v>
      </c>
      <c r="F56" s="70">
        <f>'Detalle metas'!BC4</f>
        <v>0</v>
      </c>
      <c r="G56" s="71"/>
      <c r="H56" s="72">
        <f t="shared" si="74"/>
        <v>0</v>
      </c>
      <c r="I56" s="70">
        <f>'Detalle metas'!BD4</f>
        <v>16</v>
      </c>
      <c r="J56" s="71"/>
      <c r="K56" s="72">
        <f t="shared" si="75"/>
        <v>0</v>
      </c>
      <c r="L56" s="70">
        <f>'Detalle metas'!BE4</f>
        <v>20</v>
      </c>
      <c r="M56" s="71"/>
      <c r="N56" s="72">
        <f t="shared" si="76"/>
        <v>0</v>
      </c>
      <c r="O56" s="70">
        <f>'Detalle metas'!BF4</f>
        <v>20</v>
      </c>
      <c r="P56" s="71"/>
      <c r="Q56" s="72">
        <f t="shared" si="77"/>
        <v>0</v>
      </c>
      <c r="R56" s="70">
        <f>'Detalle metas'!BG4</f>
        <v>20</v>
      </c>
      <c r="S56" s="71"/>
      <c r="T56" s="72">
        <f t="shared" si="78"/>
        <v>0</v>
      </c>
      <c r="U56" s="70">
        <f>'Detalle metas'!BH4</f>
        <v>20</v>
      </c>
      <c r="V56" s="71"/>
      <c r="W56" s="72">
        <f t="shared" si="79"/>
        <v>0</v>
      </c>
      <c r="X56" s="70">
        <f>'Detalle metas'!BI4</f>
        <v>0</v>
      </c>
      <c r="Y56" s="71"/>
      <c r="Z56" s="72">
        <f t="shared" si="80"/>
        <v>0</v>
      </c>
    </row>
    <row r="57" spans="1:26">
      <c r="A57" s="67" t="s">
        <v>76</v>
      </c>
      <c r="B57" s="67" t="s">
        <v>80</v>
      </c>
      <c r="C57" s="68">
        <f>'Detalle metas'!BB5</f>
        <v>29</v>
      </c>
      <c r="D57" s="68">
        <f t="shared" si="72"/>
        <v>0</v>
      </c>
      <c r="E57" s="69">
        <f t="shared" si="73"/>
        <v>0</v>
      </c>
      <c r="F57" s="70">
        <f>'Detalle metas'!BC5</f>
        <v>0</v>
      </c>
      <c r="G57" s="71"/>
      <c r="H57" s="72">
        <f t="shared" si="74"/>
        <v>0</v>
      </c>
      <c r="I57" s="70">
        <f>'Detalle metas'!BD5</f>
        <v>3</v>
      </c>
      <c r="J57" s="71"/>
      <c r="K57" s="72">
        <f t="shared" si="75"/>
        <v>0</v>
      </c>
      <c r="L57" s="70">
        <f>'Detalle metas'!BE5</f>
        <v>7</v>
      </c>
      <c r="M57" s="71"/>
      <c r="N57" s="72">
        <f t="shared" si="76"/>
        <v>0</v>
      </c>
      <c r="O57" s="70">
        <f>'Detalle metas'!BF5</f>
        <v>7</v>
      </c>
      <c r="P57" s="71"/>
      <c r="Q57" s="72">
        <f t="shared" si="77"/>
        <v>0</v>
      </c>
      <c r="R57" s="70">
        <f>'Detalle metas'!BG5</f>
        <v>7</v>
      </c>
      <c r="S57" s="71"/>
      <c r="T57" s="72">
        <f t="shared" si="78"/>
        <v>0</v>
      </c>
      <c r="U57" s="70">
        <f>'Detalle metas'!BH5</f>
        <v>5</v>
      </c>
      <c r="V57" s="71"/>
      <c r="W57" s="72">
        <f t="shared" si="79"/>
        <v>0</v>
      </c>
      <c r="X57" s="70">
        <f>'Detalle metas'!BI5</f>
        <v>0</v>
      </c>
      <c r="Y57" s="71"/>
      <c r="Z57" s="72">
        <f t="shared" si="80"/>
        <v>0</v>
      </c>
    </row>
    <row r="58" spans="1:26">
      <c r="A58" s="67" t="s">
        <v>76</v>
      </c>
      <c r="B58" s="67" t="s">
        <v>81</v>
      </c>
      <c r="C58" s="68">
        <f>'Detalle metas'!BB6</f>
        <v>300</v>
      </c>
      <c r="D58" s="68">
        <f t="shared" si="72"/>
        <v>0</v>
      </c>
      <c r="E58" s="69">
        <f t="shared" si="73"/>
        <v>0</v>
      </c>
      <c r="F58" s="70">
        <f>'Detalle metas'!BC6</f>
        <v>0</v>
      </c>
      <c r="G58" s="71"/>
      <c r="H58" s="72">
        <f t="shared" si="74"/>
        <v>0</v>
      </c>
      <c r="I58" s="70">
        <f>'Detalle metas'!BD6</f>
        <v>30</v>
      </c>
      <c r="J58" s="71"/>
      <c r="K58" s="72">
        <f t="shared" si="75"/>
        <v>0</v>
      </c>
      <c r="L58" s="70">
        <f>'Detalle metas'!BE6</f>
        <v>60</v>
      </c>
      <c r="M58" s="71"/>
      <c r="N58" s="72">
        <f t="shared" si="76"/>
        <v>0</v>
      </c>
      <c r="O58" s="70">
        <f>'Detalle metas'!BF6</f>
        <v>75</v>
      </c>
      <c r="P58" s="71"/>
      <c r="Q58" s="72">
        <f t="shared" si="77"/>
        <v>0</v>
      </c>
      <c r="R58" s="70">
        <f>'Detalle metas'!BG6</f>
        <v>75</v>
      </c>
      <c r="S58" s="71"/>
      <c r="T58" s="72">
        <f t="shared" si="78"/>
        <v>0</v>
      </c>
      <c r="U58" s="70">
        <f>'Detalle metas'!BH6</f>
        <v>60</v>
      </c>
      <c r="V58" s="71"/>
      <c r="W58" s="72">
        <f t="shared" si="79"/>
        <v>0</v>
      </c>
      <c r="X58" s="70">
        <f>'Detalle metas'!BI6</f>
        <v>0</v>
      </c>
      <c r="Y58" s="71"/>
      <c r="Z58" s="72">
        <f t="shared" si="80"/>
        <v>0</v>
      </c>
    </row>
    <row r="59" spans="1:26">
      <c r="A59" s="67" t="s">
        <v>76</v>
      </c>
      <c r="B59" s="67" t="s">
        <v>82</v>
      </c>
      <c r="C59" s="68">
        <f>'Detalle metas'!BB7</f>
        <v>1200</v>
      </c>
      <c r="D59" s="68">
        <f t="shared" ref="D59" si="81">SUM(G59,J59,M59,P59,S59,V59,Y59)</f>
        <v>0</v>
      </c>
      <c r="E59" s="69">
        <f t="shared" ref="E59" si="82">IFERROR(D59/C59,0)</f>
        <v>0</v>
      </c>
      <c r="F59" s="70">
        <f>'Detalle metas'!BC7</f>
        <v>0</v>
      </c>
      <c r="G59" s="71"/>
      <c r="H59" s="72">
        <f t="shared" ref="H59" si="83">IFERROR(G59/F59,0)</f>
        <v>0</v>
      </c>
      <c r="I59" s="70">
        <f>'Detalle metas'!BD7</f>
        <v>120</v>
      </c>
      <c r="J59" s="71">
        <f>J58*4</f>
        <v>0</v>
      </c>
      <c r="K59" s="72">
        <f t="shared" ref="K59" si="84">IFERROR(J59/I59,0)</f>
        <v>0</v>
      </c>
      <c r="L59" s="70">
        <f>'Detalle metas'!BE7</f>
        <v>240</v>
      </c>
      <c r="M59" s="71">
        <f>M58*4</f>
        <v>0</v>
      </c>
      <c r="N59" s="72">
        <f t="shared" ref="N59" si="85">IFERROR(M59/L59,0)</f>
        <v>0</v>
      </c>
      <c r="O59" s="70">
        <f>'Detalle metas'!BF7</f>
        <v>300</v>
      </c>
      <c r="P59" s="71">
        <f>P58*4</f>
        <v>0</v>
      </c>
      <c r="Q59" s="72">
        <f t="shared" ref="Q59" si="86">IFERROR(P59/O59,0)</f>
        <v>0</v>
      </c>
      <c r="R59" s="70">
        <f>'Detalle metas'!BG7</f>
        <v>300</v>
      </c>
      <c r="S59" s="71">
        <f>S58*4</f>
        <v>0</v>
      </c>
      <c r="T59" s="72">
        <f t="shared" ref="T59" si="87">IFERROR(S59/R59,0)</f>
        <v>0</v>
      </c>
      <c r="U59" s="70">
        <f>'Detalle metas'!BH7</f>
        <v>240</v>
      </c>
      <c r="V59" s="71">
        <f>V58*4</f>
        <v>0</v>
      </c>
      <c r="W59" s="72">
        <f t="shared" ref="W59" si="88">IFERROR(V59/U59,0)</f>
        <v>0</v>
      </c>
      <c r="X59" s="70">
        <f>'Detalle metas'!BI7</f>
        <v>0</v>
      </c>
      <c r="Y59" s="71">
        <f>Y58*4</f>
        <v>0</v>
      </c>
      <c r="Z59" s="72">
        <f t="shared" ref="Z59" si="89">IFERROR(Y59/X59,0)</f>
        <v>0</v>
      </c>
    </row>
    <row r="60" spans="1:26">
      <c r="A60" s="67" t="s">
        <v>76</v>
      </c>
      <c r="B60" s="67" t="s">
        <v>83</v>
      </c>
      <c r="C60" s="68">
        <f>'Detalle metas'!BB8</f>
        <v>1</v>
      </c>
      <c r="D60" s="68">
        <f t="shared" si="72"/>
        <v>0</v>
      </c>
      <c r="E60" s="69">
        <f t="shared" si="73"/>
        <v>0</v>
      </c>
      <c r="F60" s="70">
        <f>'Detalle metas'!BC8</f>
        <v>0</v>
      </c>
      <c r="G60" s="71"/>
      <c r="H60" s="72">
        <f t="shared" si="74"/>
        <v>0</v>
      </c>
      <c r="I60" s="70">
        <f>'Detalle metas'!BD8</f>
        <v>0</v>
      </c>
      <c r="J60" s="71"/>
      <c r="K60" s="72">
        <f t="shared" si="75"/>
        <v>0</v>
      </c>
      <c r="L60" s="70">
        <f>'Detalle metas'!BE8</f>
        <v>0</v>
      </c>
      <c r="M60" s="71"/>
      <c r="N60" s="72">
        <f t="shared" si="76"/>
        <v>0</v>
      </c>
      <c r="O60" s="70">
        <f>'Detalle metas'!BF8</f>
        <v>1</v>
      </c>
      <c r="P60" s="71"/>
      <c r="Q60" s="72">
        <f t="shared" si="77"/>
        <v>0</v>
      </c>
      <c r="R60" s="70">
        <f>'Detalle metas'!BG8</f>
        <v>0</v>
      </c>
      <c r="S60" s="71"/>
      <c r="T60" s="72">
        <f t="shared" si="78"/>
        <v>0</v>
      </c>
      <c r="U60" s="70">
        <f>'Detalle metas'!BH8</f>
        <v>0</v>
      </c>
      <c r="V60" s="71"/>
      <c r="W60" s="72">
        <f t="shared" si="79"/>
        <v>0</v>
      </c>
      <c r="X60" s="70">
        <f>'Detalle metas'!BI8</f>
        <v>0</v>
      </c>
      <c r="Y60" s="71"/>
      <c r="Z60" s="72">
        <f t="shared" si="80"/>
        <v>0</v>
      </c>
    </row>
    <row r="61" spans="1:26">
      <c r="A61" s="67" t="s">
        <v>76</v>
      </c>
      <c r="B61" s="67" t="s">
        <v>84</v>
      </c>
      <c r="C61" s="68">
        <f>'Detalle metas'!BB9</f>
        <v>450</v>
      </c>
      <c r="D61" s="68">
        <f t="shared" si="72"/>
        <v>0</v>
      </c>
      <c r="E61" s="69">
        <f t="shared" si="73"/>
        <v>0</v>
      </c>
      <c r="F61" s="70">
        <f>'Detalle metas'!BC9</f>
        <v>0</v>
      </c>
      <c r="G61" s="71"/>
      <c r="H61" s="72">
        <f t="shared" si="74"/>
        <v>0</v>
      </c>
      <c r="I61" s="70">
        <f>'Detalle metas'!BD9</f>
        <v>0</v>
      </c>
      <c r="J61" s="71"/>
      <c r="K61" s="72">
        <f t="shared" si="75"/>
        <v>0</v>
      </c>
      <c r="L61" s="70">
        <f>'Detalle metas'!BE9</f>
        <v>0</v>
      </c>
      <c r="M61" s="71"/>
      <c r="N61" s="72">
        <f t="shared" si="76"/>
        <v>0</v>
      </c>
      <c r="O61" s="70">
        <f>'Detalle metas'!BF9</f>
        <v>90</v>
      </c>
      <c r="P61" s="71"/>
      <c r="Q61" s="72">
        <f t="shared" si="77"/>
        <v>0</v>
      </c>
      <c r="R61" s="70">
        <f>'Detalle metas'!BG9</f>
        <v>180</v>
      </c>
      <c r="S61" s="71"/>
      <c r="T61" s="72">
        <f t="shared" si="78"/>
        <v>0</v>
      </c>
      <c r="U61" s="70">
        <f>'Detalle metas'!BH9</f>
        <v>180</v>
      </c>
      <c r="V61" s="71"/>
      <c r="W61" s="72">
        <f t="shared" si="79"/>
        <v>0</v>
      </c>
      <c r="X61" s="70">
        <f>'Detalle metas'!BI9</f>
        <v>0</v>
      </c>
      <c r="Y61" s="71"/>
      <c r="Z61" s="72">
        <f t="shared" si="80"/>
        <v>0</v>
      </c>
    </row>
    <row r="63" spans="1:26" ht="21.75" customHeight="1">
      <c r="A63" s="177" t="s">
        <v>111</v>
      </c>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spans="1:26" ht="19.5" customHeight="1">
      <c r="A64" s="178" t="s">
        <v>56</v>
      </c>
      <c r="B64" s="178" t="s">
        <v>57</v>
      </c>
      <c r="C64" s="178" t="s">
        <v>97</v>
      </c>
      <c r="D64" s="178"/>
      <c r="E64" s="178"/>
      <c r="F64" s="178" t="s">
        <v>61</v>
      </c>
      <c r="G64" s="178"/>
      <c r="H64" s="178"/>
      <c r="I64" s="178" t="s">
        <v>62</v>
      </c>
      <c r="J64" s="178"/>
      <c r="K64" s="178"/>
      <c r="L64" s="178" t="s">
        <v>63</v>
      </c>
      <c r="M64" s="178"/>
      <c r="N64" s="178"/>
      <c r="O64" s="178" t="s">
        <v>64</v>
      </c>
      <c r="P64" s="178"/>
      <c r="Q64" s="178"/>
      <c r="R64" s="178" t="s">
        <v>65</v>
      </c>
      <c r="S64" s="178"/>
      <c r="T64" s="178"/>
      <c r="U64" s="178" t="s">
        <v>66</v>
      </c>
      <c r="V64" s="178"/>
      <c r="W64" s="178"/>
      <c r="X64" s="178" t="s">
        <v>67</v>
      </c>
      <c r="Y64" s="178"/>
      <c r="Z64" s="178"/>
    </row>
    <row r="65" spans="1:26" ht="21.75" customHeight="1">
      <c r="A65" s="178"/>
      <c r="B65" s="178"/>
      <c r="C65" s="1" t="s">
        <v>98</v>
      </c>
      <c r="D65" s="1" t="s">
        <v>99</v>
      </c>
      <c r="E65" s="1" t="s">
        <v>100</v>
      </c>
      <c r="F65" s="1" t="s">
        <v>98</v>
      </c>
      <c r="G65" s="1" t="s">
        <v>99</v>
      </c>
      <c r="H65" s="1" t="s">
        <v>100</v>
      </c>
      <c r="I65" s="1" t="s">
        <v>98</v>
      </c>
      <c r="J65" s="1" t="s">
        <v>99</v>
      </c>
      <c r="K65" s="1" t="s">
        <v>100</v>
      </c>
      <c r="L65" s="1" t="s">
        <v>98</v>
      </c>
      <c r="M65" s="1" t="s">
        <v>99</v>
      </c>
      <c r="N65" s="1" t="s">
        <v>100</v>
      </c>
      <c r="O65" s="1" t="s">
        <v>98</v>
      </c>
      <c r="P65" s="1" t="s">
        <v>99</v>
      </c>
      <c r="Q65" s="1" t="s">
        <v>100</v>
      </c>
      <c r="R65" s="1" t="s">
        <v>98</v>
      </c>
      <c r="S65" s="1" t="s">
        <v>99</v>
      </c>
      <c r="T65" s="1" t="s">
        <v>100</v>
      </c>
      <c r="U65" s="1" t="s">
        <v>98</v>
      </c>
      <c r="V65" s="1" t="s">
        <v>99</v>
      </c>
      <c r="W65" s="1" t="s">
        <v>100</v>
      </c>
      <c r="X65" s="1" t="s">
        <v>98</v>
      </c>
      <c r="Y65" s="1" t="s">
        <v>99</v>
      </c>
      <c r="Z65" s="1" t="s">
        <v>100</v>
      </c>
    </row>
    <row r="66" spans="1:26">
      <c r="A66" s="67" t="s">
        <v>76</v>
      </c>
      <c r="B66" s="67" t="s">
        <v>77</v>
      </c>
      <c r="C66" s="68">
        <f>'Detalle metas'!BJ2</f>
        <v>160</v>
      </c>
      <c r="D66" s="68">
        <f t="shared" ref="D66:D73" si="90">SUM(G66,J66,M66,P66,S66,V66,Y66)</f>
        <v>0</v>
      </c>
      <c r="E66" s="69">
        <f t="shared" ref="E66:E73" si="91">IFERROR(D66/C66,0)</f>
        <v>0</v>
      </c>
      <c r="F66" s="70">
        <f>'Detalle metas'!BK2</f>
        <v>0</v>
      </c>
      <c r="G66" s="71"/>
      <c r="H66" s="72">
        <f t="shared" ref="H66:H73" si="92">IFERROR(G66/F66,0)</f>
        <v>0</v>
      </c>
      <c r="I66" s="70">
        <f>'Detalle metas'!BL2</f>
        <v>16</v>
      </c>
      <c r="J66" s="71"/>
      <c r="K66" s="72">
        <f t="shared" ref="K66:K73" si="93">IFERROR(J66/I66,0)</f>
        <v>0</v>
      </c>
      <c r="L66" s="70">
        <f>'Detalle metas'!BM2</f>
        <v>36</v>
      </c>
      <c r="M66" s="71"/>
      <c r="N66" s="72">
        <f t="shared" ref="N66:N73" si="94">IFERROR(M66/L66,0)</f>
        <v>0</v>
      </c>
      <c r="O66" s="70">
        <f>'Detalle metas'!BN2</f>
        <v>36</v>
      </c>
      <c r="P66" s="71"/>
      <c r="Q66" s="72">
        <f t="shared" ref="Q66:Q73" si="95">IFERROR(P66/O66,0)</f>
        <v>0</v>
      </c>
      <c r="R66" s="70">
        <f>'Detalle metas'!BO2</f>
        <v>36</v>
      </c>
      <c r="S66" s="71"/>
      <c r="T66" s="72">
        <f t="shared" ref="T66:T73" si="96">IFERROR(S66/R66,0)</f>
        <v>0</v>
      </c>
      <c r="U66" s="70">
        <f>'Detalle metas'!BP2</f>
        <v>36</v>
      </c>
      <c r="V66" s="71"/>
      <c r="W66" s="72">
        <f t="shared" ref="W66:W73" si="97">IFERROR(V66/U66,0)</f>
        <v>0</v>
      </c>
      <c r="X66" s="70">
        <f>'Detalle metas'!BQ2</f>
        <v>0</v>
      </c>
      <c r="Y66" s="71"/>
      <c r="Z66" s="72">
        <f t="shared" ref="Z66:Z73" si="98">IFERROR(Y66/X66,0)</f>
        <v>0</v>
      </c>
    </row>
    <row r="67" spans="1:26">
      <c r="A67" s="67" t="s">
        <v>76</v>
      </c>
      <c r="B67" s="67" t="s">
        <v>78</v>
      </c>
      <c r="C67" s="68">
        <f>'Detalle metas'!BJ3</f>
        <v>640</v>
      </c>
      <c r="D67" s="68">
        <f t="shared" si="90"/>
        <v>0</v>
      </c>
      <c r="E67" s="69">
        <f t="shared" si="91"/>
        <v>0</v>
      </c>
      <c r="F67" s="70">
        <f>'Detalle metas'!BK3</f>
        <v>0</v>
      </c>
      <c r="G67" s="71"/>
      <c r="H67" s="72">
        <f t="shared" si="92"/>
        <v>0</v>
      </c>
      <c r="I67" s="70">
        <f>'Detalle metas'!BL3</f>
        <v>64</v>
      </c>
      <c r="J67" s="71"/>
      <c r="K67" s="72">
        <f t="shared" si="93"/>
        <v>0</v>
      </c>
      <c r="L67" s="70">
        <f>'Detalle metas'!BM3</f>
        <v>144</v>
      </c>
      <c r="M67" s="71"/>
      <c r="N67" s="72">
        <f t="shared" si="94"/>
        <v>0</v>
      </c>
      <c r="O67" s="70">
        <f>'Detalle metas'!BN3</f>
        <v>144</v>
      </c>
      <c r="P67" s="71"/>
      <c r="Q67" s="72">
        <f t="shared" si="95"/>
        <v>0</v>
      </c>
      <c r="R67" s="70">
        <f>'Detalle metas'!BO3</f>
        <v>144</v>
      </c>
      <c r="S67" s="71"/>
      <c r="T67" s="72">
        <f t="shared" si="96"/>
        <v>0</v>
      </c>
      <c r="U67" s="70">
        <f>'Detalle metas'!BP3</f>
        <v>144</v>
      </c>
      <c r="V67" s="71"/>
      <c r="W67" s="72">
        <f t="shared" si="97"/>
        <v>0</v>
      </c>
      <c r="X67" s="70">
        <f>'Detalle metas'!BQ3</f>
        <v>0</v>
      </c>
      <c r="Y67" s="71"/>
      <c r="Z67" s="72">
        <f t="shared" si="98"/>
        <v>0</v>
      </c>
    </row>
    <row r="68" spans="1:26">
      <c r="A68" s="67" t="s">
        <v>76</v>
      </c>
      <c r="B68" s="67" t="s">
        <v>79</v>
      </c>
      <c r="C68" s="68">
        <f>'Detalle metas'!BJ4</f>
        <v>96</v>
      </c>
      <c r="D68" s="68">
        <f t="shared" si="90"/>
        <v>0</v>
      </c>
      <c r="E68" s="69">
        <f t="shared" si="91"/>
        <v>0</v>
      </c>
      <c r="F68" s="70">
        <f>'Detalle metas'!BK4</f>
        <v>0</v>
      </c>
      <c r="G68" s="71"/>
      <c r="H68" s="72">
        <f t="shared" si="92"/>
        <v>0</v>
      </c>
      <c r="I68" s="70">
        <f>'Detalle metas'!BL4</f>
        <v>16</v>
      </c>
      <c r="J68" s="71"/>
      <c r="K68" s="72">
        <f t="shared" si="93"/>
        <v>0</v>
      </c>
      <c r="L68" s="70">
        <f>'Detalle metas'!BM4</f>
        <v>20</v>
      </c>
      <c r="M68" s="71"/>
      <c r="N68" s="72">
        <f t="shared" si="94"/>
        <v>0</v>
      </c>
      <c r="O68" s="70">
        <f>'Detalle metas'!BN4</f>
        <v>20</v>
      </c>
      <c r="P68" s="71"/>
      <c r="Q68" s="72">
        <f t="shared" si="95"/>
        <v>0</v>
      </c>
      <c r="R68" s="70">
        <f>'Detalle metas'!BO4</f>
        <v>20</v>
      </c>
      <c r="S68" s="71"/>
      <c r="T68" s="72">
        <f t="shared" si="96"/>
        <v>0</v>
      </c>
      <c r="U68" s="70">
        <f>'Detalle metas'!BP4</f>
        <v>20</v>
      </c>
      <c r="V68" s="71"/>
      <c r="W68" s="72">
        <f t="shared" si="97"/>
        <v>0</v>
      </c>
      <c r="X68" s="70">
        <f>'Detalle metas'!BQ4</f>
        <v>0</v>
      </c>
      <c r="Y68" s="71"/>
      <c r="Z68" s="72">
        <f t="shared" si="98"/>
        <v>0</v>
      </c>
    </row>
    <row r="69" spans="1:26">
      <c r="A69" s="67" t="s">
        <v>76</v>
      </c>
      <c r="B69" s="67" t="s">
        <v>80</v>
      </c>
      <c r="C69" s="68">
        <f>'Detalle metas'!BJ5</f>
        <v>29</v>
      </c>
      <c r="D69" s="68">
        <f t="shared" si="90"/>
        <v>0</v>
      </c>
      <c r="E69" s="69">
        <f t="shared" si="91"/>
        <v>0</v>
      </c>
      <c r="F69" s="70">
        <f>'Detalle metas'!BK5</f>
        <v>0</v>
      </c>
      <c r="G69" s="71"/>
      <c r="H69" s="72">
        <f t="shared" si="92"/>
        <v>0</v>
      </c>
      <c r="I69" s="70">
        <f>'Detalle metas'!BL5</f>
        <v>3</v>
      </c>
      <c r="J69" s="71"/>
      <c r="K69" s="72">
        <f t="shared" si="93"/>
        <v>0</v>
      </c>
      <c r="L69" s="70">
        <f>'Detalle metas'!BM5</f>
        <v>7</v>
      </c>
      <c r="M69" s="71"/>
      <c r="N69" s="72">
        <f t="shared" si="94"/>
        <v>0</v>
      </c>
      <c r="O69" s="70">
        <f>'Detalle metas'!BN5</f>
        <v>7</v>
      </c>
      <c r="P69" s="71"/>
      <c r="Q69" s="72">
        <f t="shared" si="95"/>
        <v>0</v>
      </c>
      <c r="R69" s="70">
        <f>'Detalle metas'!BO5</f>
        <v>7</v>
      </c>
      <c r="S69" s="71"/>
      <c r="T69" s="72">
        <f t="shared" si="96"/>
        <v>0</v>
      </c>
      <c r="U69" s="70">
        <f>'Detalle metas'!BP5</f>
        <v>5</v>
      </c>
      <c r="V69" s="71"/>
      <c r="W69" s="72">
        <f t="shared" si="97"/>
        <v>0</v>
      </c>
      <c r="X69" s="70">
        <f>'Detalle metas'!BQ5</f>
        <v>0</v>
      </c>
      <c r="Y69" s="71"/>
      <c r="Z69" s="72">
        <f t="shared" si="98"/>
        <v>0</v>
      </c>
    </row>
    <row r="70" spans="1:26">
      <c r="A70" s="67" t="s">
        <v>76</v>
      </c>
      <c r="B70" s="67" t="s">
        <v>81</v>
      </c>
      <c r="C70" s="68">
        <f>'Detalle metas'!BJ6</f>
        <v>300</v>
      </c>
      <c r="D70" s="68">
        <f t="shared" si="90"/>
        <v>0</v>
      </c>
      <c r="E70" s="69">
        <f t="shared" si="91"/>
        <v>0</v>
      </c>
      <c r="F70" s="70">
        <f>'Detalle metas'!BK6</f>
        <v>0</v>
      </c>
      <c r="G70" s="71"/>
      <c r="H70" s="72">
        <f t="shared" si="92"/>
        <v>0</v>
      </c>
      <c r="I70" s="70">
        <f>'Detalle metas'!BL6</f>
        <v>30</v>
      </c>
      <c r="J70" s="71"/>
      <c r="K70" s="72">
        <f t="shared" si="93"/>
        <v>0</v>
      </c>
      <c r="L70" s="70">
        <f>'Detalle metas'!BM6</f>
        <v>60</v>
      </c>
      <c r="M70" s="71"/>
      <c r="N70" s="72">
        <f t="shared" si="94"/>
        <v>0</v>
      </c>
      <c r="O70" s="70">
        <f>'Detalle metas'!BN6</f>
        <v>75</v>
      </c>
      <c r="P70" s="71"/>
      <c r="Q70" s="72">
        <f t="shared" si="95"/>
        <v>0</v>
      </c>
      <c r="R70" s="70">
        <f>'Detalle metas'!BO6</f>
        <v>75</v>
      </c>
      <c r="S70" s="71"/>
      <c r="T70" s="72">
        <f t="shared" si="96"/>
        <v>0</v>
      </c>
      <c r="U70" s="70">
        <f>'Detalle metas'!BP6</f>
        <v>60</v>
      </c>
      <c r="V70" s="71"/>
      <c r="W70" s="72">
        <f t="shared" si="97"/>
        <v>0</v>
      </c>
      <c r="X70" s="70">
        <f>'Detalle metas'!BQ6</f>
        <v>0</v>
      </c>
      <c r="Y70" s="71"/>
      <c r="Z70" s="72">
        <f t="shared" si="98"/>
        <v>0</v>
      </c>
    </row>
    <row r="71" spans="1:26">
      <c r="A71" s="67" t="s">
        <v>76</v>
      </c>
      <c r="B71" s="67" t="s">
        <v>82</v>
      </c>
      <c r="C71" s="68">
        <f>'Detalle metas'!BJ7</f>
        <v>1200</v>
      </c>
      <c r="D71" s="68">
        <f t="shared" ref="D71" si="99">SUM(G71,J71,M71,P71,S71,V71,Y71)</f>
        <v>0</v>
      </c>
      <c r="E71" s="69">
        <f t="shared" ref="E71" si="100">IFERROR(D71/C71,0)</f>
        <v>0</v>
      </c>
      <c r="F71" s="70">
        <f>'Detalle metas'!BK7</f>
        <v>0</v>
      </c>
      <c r="G71" s="71"/>
      <c r="H71" s="72">
        <f t="shared" ref="H71" si="101">IFERROR(G71/F71,0)</f>
        <v>0</v>
      </c>
      <c r="I71" s="70">
        <f>'Detalle metas'!BL7</f>
        <v>120</v>
      </c>
      <c r="J71" s="71">
        <f>J70*4</f>
        <v>0</v>
      </c>
      <c r="K71" s="72">
        <f t="shared" ref="K71" si="102">IFERROR(J71/I71,0)</f>
        <v>0</v>
      </c>
      <c r="L71" s="70">
        <f>'Detalle metas'!BM7</f>
        <v>240</v>
      </c>
      <c r="M71" s="71">
        <f>M70*4</f>
        <v>0</v>
      </c>
      <c r="N71" s="72">
        <f t="shared" ref="N71" si="103">IFERROR(M71/L71,0)</f>
        <v>0</v>
      </c>
      <c r="O71" s="70">
        <f>'Detalle metas'!BN7</f>
        <v>300</v>
      </c>
      <c r="P71" s="71">
        <f>P70*4</f>
        <v>0</v>
      </c>
      <c r="Q71" s="72">
        <f t="shared" ref="Q71" si="104">IFERROR(P71/O71,0)</f>
        <v>0</v>
      </c>
      <c r="R71" s="70">
        <f>'Detalle metas'!BO7</f>
        <v>300</v>
      </c>
      <c r="S71" s="71">
        <f>S70*4</f>
        <v>0</v>
      </c>
      <c r="T71" s="72">
        <f t="shared" ref="T71" si="105">IFERROR(S71/R71,0)</f>
        <v>0</v>
      </c>
      <c r="U71" s="70">
        <f>'Detalle metas'!BP7</f>
        <v>240</v>
      </c>
      <c r="V71" s="71">
        <f>V70*4</f>
        <v>0</v>
      </c>
      <c r="W71" s="72">
        <f t="shared" ref="W71" si="106">IFERROR(V71/U71,0)</f>
        <v>0</v>
      </c>
      <c r="X71" s="70">
        <f>'Detalle metas'!BQ7</f>
        <v>0</v>
      </c>
      <c r="Y71" s="71">
        <f>Y70*4</f>
        <v>0</v>
      </c>
      <c r="Z71" s="72">
        <f t="shared" ref="Z71" si="107">IFERROR(Y71/X71,0)</f>
        <v>0</v>
      </c>
    </row>
    <row r="72" spans="1:26">
      <c r="A72" s="67" t="s">
        <v>76</v>
      </c>
      <c r="B72" s="67" t="s">
        <v>83</v>
      </c>
      <c r="C72" s="68">
        <f>'Detalle metas'!BJ8</f>
        <v>1</v>
      </c>
      <c r="D72" s="68">
        <f t="shared" si="90"/>
        <v>0</v>
      </c>
      <c r="E72" s="69">
        <f t="shared" si="91"/>
        <v>0</v>
      </c>
      <c r="F72" s="70">
        <f>'Detalle metas'!BK8</f>
        <v>0</v>
      </c>
      <c r="G72" s="71"/>
      <c r="H72" s="72">
        <f t="shared" si="92"/>
        <v>0</v>
      </c>
      <c r="I72" s="70">
        <f>'Detalle metas'!BL8</f>
        <v>0</v>
      </c>
      <c r="J72" s="71"/>
      <c r="K72" s="72">
        <f t="shared" si="93"/>
        <v>0</v>
      </c>
      <c r="L72" s="70">
        <f>'Detalle metas'!BM8</f>
        <v>0</v>
      </c>
      <c r="M72" s="71"/>
      <c r="N72" s="72">
        <f t="shared" si="94"/>
        <v>0</v>
      </c>
      <c r="O72" s="70">
        <f>'Detalle metas'!BN8</f>
        <v>1</v>
      </c>
      <c r="P72" s="71"/>
      <c r="Q72" s="72">
        <f t="shared" si="95"/>
        <v>0</v>
      </c>
      <c r="R72" s="70">
        <f>'Detalle metas'!BO8</f>
        <v>0</v>
      </c>
      <c r="S72" s="71"/>
      <c r="T72" s="72">
        <f t="shared" si="96"/>
        <v>0</v>
      </c>
      <c r="U72" s="70">
        <f>'Detalle metas'!BP8</f>
        <v>0</v>
      </c>
      <c r="V72" s="71"/>
      <c r="W72" s="72">
        <f t="shared" si="97"/>
        <v>0</v>
      </c>
      <c r="X72" s="70">
        <f>'Detalle metas'!BQ8</f>
        <v>0</v>
      </c>
      <c r="Y72" s="71"/>
      <c r="Z72" s="72">
        <f t="shared" si="98"/>
        <v>0</v>
      </c>
    </row>
    <row r="73" spans="1:26">
      <c r="A73" s="67" t="s">
        <v>76</v>
      </c>
      <c r="B73" s="67" t="s">
        <v>84</v>
      </c>
      <c r="C73" s="68">
        <f>'Detalle metas'!BJ9</f>
        <v>450</v>
      </c>
      <c r="D73" s="68">
        <f t="shared" si="90"/>
        <v>0</v>
      </c>
      <c r="E73" s="69">
        <f t="shared" si="91"/>
        <v>0</v>
      </c>
      <c r="F73" s="70">
        <f>'Detalle metas'!BK9</f>
        <v>0</v>
      </c>
      <c r="G73" s="71"/>
      <c r="H73" s="72">
        <f t="shared" si="92"/>
        <v>0</v>
      </c>
      <c r="I73" s="70">
        <f>'Detalle metas'!BL9</f>
        <v>0</v>
      </c>
      <c r="J73" s="71"/>
      <c r="K73" s="72">
        <f t="shared" si="93"/>
        <v>0</v>
      </c>
      <c r="L73" s="70">
        <f>'Detalle metas'!BM9</f>
        <v>0</v>
      </c>
      <c r="M73" s="71"/>
      <c r="N73" s="72">
        <f t="shared" si="94"/>
        <v>0</v>
      </c>
      <c r="O73" s="70">
        <f>'Detalle metas'!BN9</f>
        <v>90</v>
      </c>
      <c r="P73" s="71"/>
      <c r="Q73" s="72">
        <f t="shared" si="95"/>
        <v>0</v>
      </c>
      <c r="R73" s="70">
        <f>'Detalle metas'!BO9</f>
        <v>180</v>
      </c>
      <c r="S73" s="71"/>
      <c r="T73" s="72">
        <f t="shared" si="96"/>
        <v>0</v>
      </c>
      <c r="U73" s="70">
        <f>'Detalle metas'!BP9</f>
        <v>180</v>
      </c>
      <c r="V73" s="71"/>
      <c r="W73" s="72">
        <f t="shared" si="97"/>
        <v>0</v>
      </c>
      <c r="X73" s="70">
        <f>'Detalle metas'!BQ9</f>
        <v>0</v>
      </c>
      <c r="Y73" s="71"/>
      <c r="Z73" s="72">
        <f t="shared" si="98"/>
        <v>0</v>
      </c>
    </row>
    <row r="75" spans="1:26" ht="21.75" customHeight="1">
      <c r="A75" s="179" t="s">
        <v>112</v>
      </c>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row>
    <row r="76" spans="1:26" ht="19.5" customHeight="1">
      <c r="A76" s="178" t="s">
        <v>56</v>
      </c>
      <c r="B76" s="178" t="s">
        <v>57</v>
      </c>
      <c r="C76" s="178" t="s">
        <v>97</v>
      </c>
      <c r="D76" s="178"/>
      <c r="E76" s="178"/>
      <c r="F76" s="178" t="s">
        <v>61</v>
      </c>
      <c r="G76" s="178"/>
      <c r="H76" s="178"/>
      <c r="I76" s="178" t="s">
        <v>62</v>
      </c>
      <c r="J76" s="178"/>
      <c r="K76" s="178"/>
      <c r="L76" s="178" t="s">
        <v>63</v>
      </c>
      <c r="M76" s="178"/>
      <c r="N76" s="178"/>
      <c r="O76" s="178" t="s">
        <v>64</v>
      </c>
      <c r="P76" s="178"/>
      <c r="Q76" s="178"/>
      <c r="R76" s="178" t="s">
        <v>65</v>
      </c>
      <c r="S76" s="178"/>
      <c r="T76" s="178"/>
      <c r="U76" s="178" t="s">
        <v>66</v>
      </c>
      <c r="V76" s="178"/>
      <c r="W76" s="178"/>
      <c r="X76" s="178" t="s">
        <v>67</v>
      </c>
      <c r="Y76" s="178"/>
      <c r="Z76" s="178"/>
    </row>
    <row r="77" spans="1:26" ht="21.75" customHeight="1">
      <c r="A77" s="178"/>
      <c r="B77" s="178"/>
      <c r="C77" s="1" t="s">
        <v>98</v>
      </c>
      <c r="D77" s="1" t="s">
        <v>99</v>
      </c>
      <c r="E77" s="1" t="s">
        <v>100</v>
      </c>
      <c r="F77" s="1" t="s">
        <v>98</v>
      </c>
      <c r="G77" s="1" t="s">
        <v>99</v>
      </c>
      <c r="H77" s="1" t="s">
        <v>100</v>
      </c>
      <c r="I77" s="1" t="s">
        <v>98</v>
      </c>
      <c r="J77" s="1" t="s">
        <v>99</v>
      </c>
      <c r="K77" s="1" t="s">
        <v>100</v>
      </c>
      <c r="L77" s="1" t="s">
        <v>98</v>
      </c>
      <c r="M77" s="1" t="s">
        <v>99</v>
      </c>
      <c r="N77" s="1" t="s">
        <v>100</v>
      </c>
      <c r="O77" s="1" t="s">
        <v>98</v>
      </c>
      <c r="P77" s="1" t="s">
        <v>99</v>
      </c>
      <c r="Q77" s="1" t="s">
        <v>100</v>
      </c>
      <c r="R77" s="1" t="s">
        <v>98</v>
      </c>
      <c r="S77" s="1" t="s">
        <v>99</v>
      </c>
      <c r="T77" s="1" t="s">
        <v>100</v>
      </c>
      <c r="U77" s="1" t="s">
        <v>98</v>
      </c>
      <c r="V77" s="1" t="s">
        <v>99</v>
      </c>
      <c r="W77" s="1" t="s">
        <v>100</v>
      </c>
      <c r="X77" s="1" t="s">
        <v>98</v>
      </c>
      <c r="Y77" s="1" t="s">
        <v>99</v>
      </c>
      <c r="Z77" s="1" t="s">
        <v>100</v>
      </c>
    </row>
    <row r="78" spans="1:26">
      <c r="A78" s="67" t="s">
        <v>76</v>
      </c>
      <c r="B78" s="67" t="s">
        <v>77</v>
      </c>
      <c r="C78" s="68">
        <f>SUM(C6,C18,C30,C42,C54,C66)</f>
        <v>1120</v>
      </c>
      <c r="D78" s="68">
        <f>SUM(D6,D18,D30,D42,D54,D66)</f>
        <v>0</v>
      </c>
      <c r="E78" s="69">
        <f t="shared" ref="E78:E85" si="108">IFERROR(D78/C78,0)</f>
        <v>0</v>
      </c>
      <c r="F78" s="70">
        <f>SUM(F6,F18,F30,F42,F54,F66)</f>
        <v>0</v>
      </c>
      <c r="G78" s="70">
        <f>SUM(G6,G18,G30,G42,G54,G66)</f>
        <v>0</v>
      </c>
      <c r="H78" s="72">
        <f t="shared" ref="H78:H85" si="109">IFERROR(G78/F78,0)</f>
        <v>0</v>
      </c>
      <c r="I78" s="70">
        <f>SUM(I6,I18,I30,I42,I54,I66)</f>
        <v>112</v>
      </c>
      <c r="J78" s="70">
        <f>SUM(J6,J18,J30,J42,J54,J66)</f>
        <v>0</v>
      </c>
      <c r="K78" s="72">
        <f t="shared" ref="K78:K85" si="110">IFERROR(J78/I78,0)</f>
        <v>0</v>
      </c>
      <c r="L78" s="70">
        <f>SUM(L6,L18,L30,L42,L54,L66)</f>
        <v>252</v>
      </c>
      <c r="M78" s="70">
        <f>SUM(M6,M18,M30,M42,M54,M66)</f>
        <v>0</v>
      </c>
      <c r="N78" s="72">
        <f t="shared" ref="N78:N84" si="111">IFERROR(M78/L78,0)</f>
        <v>0</v>
      </c>
      <c r="O78" s="70">
        <f>SUM(O6,O18,O30,O42,O54,O66)</f>
        <v>252</v>
      </c>
      <c r="P78" s="70">
        <f>SUM(P6,P18,P30,P42,P54,P66)</f>
        <v>0</v>
      </c>
      <c r="Q78" s="72">
        <f t="shared" ref="Q78:Q85" si="112">IFERROR(P78/O78,0)</f>
        <v>0</v>
      </c>
      <c r="R78" s="70">
        <f>SUM(R6,R18,R30,R42,R54,R66)</f>
        <v>252</v>
      </c>
      <c r="S78" s="70">
        <f>SUM(S6,S18,S30,S42,S54,S66)</f>
        <v>0</v>
      </c>
      <c r="T78" s="72">
        <f t="shared" ref="T78:T85" si="113">IFERROR(S78/R78,0)</f>
        <v>0</v>
      </c>
      <c r="U78" s="70">
        <f>SUM(U6,U18,U30,U42,U54,U66)</f>
        <v>252</v>
      </c>
      <c r="V78" s="70">
        <f>SUM(V6,V18,V30,V42,V54,V66)</f>
        <v>0</v>
      </c>
      <c r="W78" s="72">
        <f t="shared" ref="W78:W85" si="114">IFERROR(V78/U78,0)</f>
        <v>0</v>
      </c>
      <c r="X78" s="70">
        <f>SUM(X6,X18,X30,X42,X54,X66)</f>
        <v>0</v>
      </c>
      <c r="Y78" s="70">
        <f>SUM(Y6,Y18,Y30,Y42,Y54,Y66)</f>
        <v>0</v>
      </c>
      <c r="Z78" s="72">
        <f t="shared" ref="Z78:Z85" si="115">IFERROR(Y78/X78,0)</f>
        <v>0</v>
      </c>
    </row>
    <row r="79" spans="1:26">
      <c r="A79" s="67" t="s">
        <v>76</v>
      </c>
      <c r="B79" s="67" t="s">
        <v>78</v>
      </c>
      <c r="C79" s="68">
        <f>SUM(C7,C19,C31,C43,C55,C67)</f>
        <v>4480</v>
      </c>
      <c r="D79" s="68">
        <f>SUM(D7,D19,D31,D43,D55,D67)</f>
        <v>0</v>
      </c>
      <c r="E79" s="69">
        <f t="shared" si="108"/>
        <v>0</v>
      </c>
      <c r="F79" s="70">
        <f>SUM(F7,F19,F31,F43,F55,F67)</f>
        <v>0</v>
      </c>
      <c r="G79" s="70">
        <f>SUM(G7,G19,G31,G43,G55,G67)</f>
        <v>0</v>
      </c>
      <c r="H79" s="72">
        <f t="shared" si="109"/>
        <v>0</v>
      </c>
      <c r="I79" s="70">
        <f>SUM(I7,I19,I31,I43,I55,I67)</f>
        <v>448</v>
      </c>
      <c r="J79" s="70">
        <f>SUM(J7,J19,J31,J43,J55,J67)</f>
        <v>0</v>
      </c>
      <c r="K79" s="72">
        <f t="shared" si="110"/>
        <v>0</v>
      </c>
      <c r="L79" s="70">
        <f>SUM(L7,L19,L31,L43,L55,L67)</f>
        <v>1008</v>
      </c>
      <c r="M79" s="70">
        <f>SUM(M7,M19,M31,M43,M55,M67)</f>
        <v>0</v>
      </c>
      <c r="N79" s="72">
        <f t="shared" si="111"/>
        <v>0</v>
      </c>
      <c r="O79" s="70">
        <f>SUM(O7,O19,O31,O43,O55,O67)</f>
        <v>1008</v>
      </c>
      <c r="P79" s="70">
        <f>SUM(P7,P19,P31,P43,P55,P67)</f>
        <v>0</v>
      </c>
      <c r="Q79" s="72">
        <f t="shared" si="112"/>
        <v>0</v>
      </c>
      <c r="R79" s="70">
        <f>SUM(R7,R19,R31,R43,R55,R67)</f>
        <v>1008</v>
      </c>
      <c r="S79" s="70">
        <f>SUM(S7,S19,S31,S43,S55,S67)</f>
        <v>0</v>
      </c>
      <c r="T79" s="72">
        <f t="shared" si="113"/>
        <v>0</v>
      </c>
      <c r="U79" s="70">
        <f>SUM(U7,U19,U31,U43,U55,U67)</f>
        <v>1008</v>
      </c>
      <c r="V79" s="70">
        <f>SUM(V7,V19,V31,V43,V55,V67)</f>
        <v>0</v>
      </c>
      <c r="W79" s="72">
        <f t="shared" si="114"/>
        <v>0</v>
      </c>
      <c r="X79" s="70">
        <f>SUM(X7,X19,X31,X43,X55,X67)</f>
        <v>0</v>
      </c>
      <c r="Y79" s="70">
        <f>SUM(Y7,Y19,Y31,Y43,Y55,Y67)</f>
        <v>0</v>
      </c>
      <c r="Z79" s="72">
        <f t="shared" si="115"/>
        <v>0</v>
      </c>
    </row>
    <row r="80" spans="1:26">
      <c r="A80" s="67" t="s">
        <v>76</v>
      </c>
      <c r="B80" s="67" t="s">
        <v>79</v>
      </c>
      <c r="C80" s="68">
        <f>SUM(C8,C20,C32,C44,C56,C68)</f>
        <v>576</v>
      </c>
      <c r="D80" s="68">
        <f>SUM(D8,D20,D32,D44,D56,D68)</f>
        <v>0</v>
      </c>
      <c r="E80" s="69">
        <f t="shared" si="108"/>
        <v>0</v>
      </c>
      <c r="F80" s="70">
        <f>SUM(F8,F20,F32,F44,F56,F68)</f>
        <v>0</v>
      </c>
      <c r="G80" s="70">
        <f>SUM(G8,G20,G32,G44,G56,G68)</f>
        <v>0</v>
      </c>
      <c r="H80" s="72">
        <f t="shared" si="109"/>
        <v>0</v>
      </c>
      <c r="I80" s="70">
        <f>SUM(I8,I20,I32,I44,I56,I68)</f>
        <v>96</v>
      </c>
      <c r="J80" s="70">
        <f>SUM(J8,J20,J32,J44,J56,J68)</f>
        <v>0</v>
      </c>
      <c r="K80" s="72">
        <f t="shared" si="110"/>
        <v>0</v>
      </c>
      <c r="L80" s="70">
        <f>SUM(L8,L20,L32,L44,L56,L68)</f>
        <v>120</v>
      </c>
      <c r="M80" s="70">
        <f>SUM(M8,M20,M32,M44,M56,M68)</f>
        <v>0</v>
      </c>
      <c r="N80" s="72">
        <f t="shared" si="111"/>
        <v>0</v>
      </c>
      <c r="O80" s="70">
        <f>SUM(O8,O20,O32,O44,O56,O68)</f>
        <v>120</v>
      </c>
      <c r="P80" s="70">
        <f>SUM(P8,P20,P32,P44,P56,P68)</f>
        <v>0</v>
      </c>
      <c r="Q80" s="72">
        <f t="shared" si="112"/>
        <v>0</v>
      </c>
      <c r="R80" s="70">
        <f>SUM(R8,R20,R32,R44,R56,R68)</f>
        <v>120</v>
      </c>
      <c r="S80" s="70">
        <f>SUM(S8,S20,S32,S44,S56,S68)</f>
        <v>0</v>
      </c>
      <c r="T80" s="72">
        <f t="shared" si="113"/>
        <v>0</v>
      </c>
      <c r="U80" s="70">
        <f>SUM(U8,U20,U32,U44,U56,U68)</f>
        <v>120</v>
      </c>
      <c r="V80" s="70">
        <f>SUM(V8,V20,V32,V44,V56,V68)</f>
        <v>0</v>
      </c>
      <c r="W80" s="72">
        <f t="shared" si="114"/>
        <v>0</v>
      </c>
      <c r="X80" s="70">
        <f>SUM(X8,X20,X32,X44,X56,X68)</f>
        <v>0</v>
      </c>
      <c r="Y80" s="70">
        <f>SUM(Y8,Y20,Y32,Y44,Y56,Y68)</f>
        <v>0</v>
      </c>
      <c r="Z80" s="72">
        <f t="shared" si="115"/>
        <v>0</v>
      </c>
    </row>
    <row r="81" spans="1:26">
      <c r="A81" s="67" t="s">
        <v>76</v>
      </c>
      <c r="B81" s="67" t="s">
        <v>80</v>
      </c>
      <c r="C81" s="68">
        <f>SUM(C9,C21,C33,C45,C57,C69)</f>
        <v>173</v>
      </c>
      <c r="D81" s="68">
        <f>SUM(D9,D21,D33,D45,D57,D69)</f>
        <v>0</v>
      </c>
      <c r="E81" s="69">
        <f t="shared" si="108"/>
        <v>0</v>
      </c>
      <c r="F81" s="70">
        <f>SUM(F9,F21,F33,F45,F57,F69)</f>
        <v>0</v>
      </c>
      <c r="G81" s="70">
        <f>SUM(G9,G21,G33,G45,G57,G69)</f>
        <v>0</v>
      </c>
      <c r="H81" s="72">
        <f t="shared" si="109"/>
        <v>0</v>
      </c>
      <c r="I81" s="70">
        <f>SUM(I9,I21,I33,I45,I57,I69)</f>
        <v>18</v>
      </c>
      <c r="J81" s="70">
        <f>SUM(J9,J21,J33,J45,J57,J69)</f>
        <v>0</v>
      </c>
      <c r="K81" s="72">
        <f t="shared" si="110"/>
        <v>0</v>
      </c>
      <c r="L81" s="70">
        <f>SUM(L9,L21,L33,L45,L57,L69)</f>
        <v>42</v>
      </c>
      <c r="M81" s="70">
        <f>SUM(M9,M21,M33,M45,M57,M69)</f>
        <v>0</v>
      </c>
      <c r="N81" s="72">
        <f t="shared" si="111"/>
        <v>0</v>
      </c>
      <c r="O81" s="70">
        <f>SUM(O9,O21,O33,O45,O57,O69)</f>
        <v>42</v>
      </c>
      <c r="P81" s="70">
        <f>SUM(P9,P21,P33,P45,P57,P69)</f>
        <v>0</v>
      </c>
      <c r="Q81" s="72">
        <f t="shared" si="112"/>
        <v>0</v>
      </c>
      <c r="R81" s="70">
        <f>SUM(R9,R21,R33,R45,R57,R69)</f>
        <v>42</v>
      </c>
      <c r="S81" s="70">
        <f>SUM(S9,S21,S33,S45,S57,S69)</f>
        <v>0</v>
      </c>
      <c r="T81" s="72">
        <f t="shared" si="113"/>
        <v>0</v>
      </c>
      <c r="U81" s="70">
        <f>SUM(U9,U21,U33,U45,U57,U69)</f>
        <v>29</v>
      </c>
      <c r="V81" s="70">
        <f>SUM(V9,V21,V33,V45,V57,V69)</f>
        <v>0</v>
      </c>
      <c r="W81" s="72">
        <f t="shared" si="114"/>
        <v>0</v>
      </c>
      <c r="X81" s="70">
        <f>SUM(X9,X21,X33,X45,X57,X69)</f>
        <v>0</v>
      </c>
      <c r="Y81" s="70">
        <f>SUM(Y9,Y21,Y33,Y45,Y57,Y69)</f>
        <v>0</v>
      </c>
      <c r="Z81" s="72">
        <f t="shared" si="115"/>
        <v>0</v>
      </c>
    </row>
    <row r="82" spans="1:26">
      <c r="A82" s="67" t="s">
        <v>76</v>
      </c>
      <c r="B82" s="67" t="s">
        <v>81</v>
      </c>
      <c r="C82" s="68">
        <f>SUM(C10,C22,C34,C46,C58,C70)</f>
        <v>1800</v>
      </c>
      <c r="D82" s="68">
        <f>SUM(D10,D22,D34,D46,D58,D70)</f>
        <v>0</v>
      </c>
      <c r="E82" s="69">
        <f t="shared" si="108"/>
        <v>0</v>
      </c>
      <c r="F82" s="70">
        <f>SUM(F10,F22,F34,F46,F58,F70)</f>
        <v>0</v>
      </c>
      <c r="G82" s="70">
        <f>SUM(G10,G22,G34,G46,G58,G70)</f>
        <v>0</v>
      </c>
      <c r="H82" s="72">
        <f t="shared" si="109"/>
        <v>0</v>
      </c>
      <c r="I82" s="70">
        <f>SUM(I10,I22,I34,I46,I58,I70)</f>
        <v>180</v>
      </c>
      <c r="J82" s="70">
        <f>SUM(J10,J22,J34,J46,J58,J70)</f>
        <v>0</v>
      </c>
      <c r="K82" s="72">
        <f t="shared" si="110"/>
        <v>0</v>
      </c>
      <c r="L82" s="70">
        <f>SUM(L10,L22,L34,L46,L58,L70)</f>
        <v>360</v>
      </c>
      <c r="M82" s="70">
        <f>SUM(M10,M22,M34,M46,M58,M70)</f>
        <v>0</v>
      </c>
      <c r="N82" s="72">
        <f t="shared" si="111"/>
        <v>0</v>
      </c>
      <c r="O82" s="70">
        <f>SUM(O10,O22,O34,O46,O58,O70)</f>
        <v>450</v>
      </c>
      <c r="P82" s="70">
        <f>SUM(P10,P22,P34,P46,P58,P70)</f>
        <v>0</v>
      </c>
      <c r="Q82" s="72">
        <f t="shared" si="112"/>
        <v>0</v>
      </c>
      <c r="R82" s="70">
        <f>SUM(R10,R22,R34,R46,R58,R70)</f>
        <v>450</v>
      </c>
      <c r="S82" s="70">
        <f>SUM(S10,S22,S34,S46,S58,S70)</f>
        <v>0</v>
      </c>
      <c r="T82" s="72">
        <f t="shared" si="113"/>
        <v>0</v>
      </c>
      <c r="U82" s="70">
        <f>SUM(U10,U22,U34,U46,U58,U70)</f>
        <v>360</v>
      </c>
      <c r="V82" s="70">
        <f>SUM(V10,V22,V34,V46,V58,V70)</f>
        <v>0</v>
      </c>
      <c r="W82" s="72">
        <f t="shared" si="114"/>
        <v>0</v>
      </c>
      <c r="X82" s="70">
        <f>SUM(X10,X22,X34,X46,X58,X70)</f>
        <v>0</v>
      </c>
      <c r="Y82" s="70">
        <f>SUM(Y10,Y22,Y34,Y46,Y58,Y70)</f>
        <v>0</v>
      </c>
      <c r="Z82" s="72">
        <f t="shared" si="115"/>
        <v>0</v>
      </c>
    </row>
    <row r="83" spans="1:26">
      <c r="A83" s="67" t="s">
        <v>76</v>
      </c>
      <c r="B83" s="67" t="s">
        <v>82</v>
      </c>
      <c r="C83" s="68">
        <f>SUM(C11,C23,C35,C47,C59,C71)</f>
        <v>7200</v>
      </c>
      <c r="D83" s="68">
        <f>SUM(D11,D23,D35,D47,D59,D71)</f>
        <v>0</v>
      </c>
      <c r="E83" s="69">
        <f t="shared" ref="E83" si="116">IFERROR(D83/C83,0)</f>
        <v>0</v>
      </c>
      <c r="F83" s="70">
        <f>SUM(F11,F23,F35,F47,F59,F71)</f>
        <v>0</v>
      </c>
      <c r="G83" s="70">
        <f>SUM(G11,G23,G35,G47,G59,G71)</f>
        <v>0</v>
      </c>
      <c r="H83" s="72">
        <f t="shared" ref="H83" si="117">IFERROR(G83/F83,0)</f>
        <v>0</v>
      </c>
      <c r="I83" s="70">
        <f>SUM(I11,I23,I35,I47,I59,I71)</f>
        <v>720</v>
      </c>
      <c r="J83" s="70">
        <f>SUM(J11,J23,J35,J47,J59,J71)</f>
        <v>0</v>
      </c>
      <c r="K83" s="72">
        <f t="shared" ref="K83" si="118">IFERROR(J83/I83,0)</f>
        <v>0</v>
      </c>
      <c r="L83" s="70">
        <f>SUM(L11,L23,L35,L47,L59,L71)</f>
        <v>1440</v>
      </c>
      <c r="M83" s="70">
        <f>SUM(M11,M23,M35,M47,M59,M71)</f>
        <v>0</v>
      </c>
      <c r="N83" s="72">
        <f t="shared" ref="N83" si="119">IFERROR(M83/L83,0)</f>
        <v>0</v>
      </c>
      <c r="O83" s="70">
        <f>SUM(O11,O23,O35,O47,O59,O71)</f>
        <v>1800</v>
      </c>
      <c r="P83" s="70">
        <f>SUM(P11,P23,P35,P47,P59,P71)</f>
        <v>0</v>
      </c>
      <c r="Q83" s="72">
        <f t="shared" ref="Q83" si="120">IFERROR(P83/O83,0)</f>
        <v>0</v>
      </c>
      <c r="R83" s="70">
        <f>SUM(R11,R23,R35,R47,R59,R71)</f>
        <v>1800</v>
      </c>
      <c r="S83" s="70">
        <f>SUM(S11,S23,S35,S47,S59,S71)</f>
        <v>0</v>
      </c>
      <c r="T83" s="72">
        <f t="shared" ref="T83" si="121">IFERROR(S83/R83,0)</f>
        <v>0</v>
      </c>
      <c r="U83" s="70">
        <f>SUM(U11,U23,U35,U47,U59,U71)</f>
        <v>1440</v>
      </c>
      <c r="V83" s="70">
        <f>SUM(V11,V23,V35,V47,V59,V71)</f>
        <v>0</v>
      </c>
      <c r="W83" s="72">
        <f t="shared" ref="W83" si="122">IFERROR(V83/U83,0)</f>
        <v>0</v>
      </c>
      <c r="X83" s="70">
        <f>SUM(X11,X23,X35,X47,X59,X71)</f>
        <v>0</v>
      </c>
      <c r="Y83" s="70">
        <f>SUM(Y11,Y23,Y35,Y47,Y59,Y71)</f>
        <v>0</v>
      </c>
      <c r="Z83" s="72">
        <f t="shared" ref="Z83" si="123">IFERROR(Y83/X83,0)</f>
        <v>0</v>
      </c>
    </row>
    <row r="84" spans="1:26">
      <c r="A84" s="67" t="s">
        <v>76</v>
      </c>
      <c r="B84" s="67" t="s">
        <v>83</v>
      </c>
      <c r="C84" s="68">
        <f>SUM(C12,C24,C36,C48,C60,C72)</f>
        <v>6</v>
      </c>
      <c r="D84" s="68">
        <f>SUM(D12,D24,D36,D48,D60,D72)</f>
        <v>0</v>
      </c>
      <c r="E84" s="69">
        <f t="shared" si="108"/>
        <v>0</v>
      </c>
      <c r="F84" s="70">
        <f>SUM(F12,F24,F36,F48,F60,F72)</f>
        <v>0</v>
      </c>
      <c r="G84" s="70">
        <f>SUM(G12,G24,G36,G48,G60,G72)</f>
        <v>0</v>
      </c>
      <c r="H84" s="72">
        <f t="shared" si="109"/>
        <v>0</v>
      </c>
      <c r="I84" s="70">
        <f>SUM(I12,I24,I36,I48,I60,I72)</f>
        <v>0</v>
      </c>
      <c r="J84" s="70">
        <f>SUM(J12,J24,J36,J48,J60,J72)</f>
        <v>0</v>
      </c>
      <c r="K84" s="72">
        <f t="shared" si="110"/>
        <v>0</v>
      </c>
      <c r="L84" s="70">
        <f>SUM(L12,L24,L36,L48,L60,L72)</f>
        <v>0</v>
      </c>
      <c r="M84" s="70">
        <f>SUM(M12,M24,M36,M48,M60,M72)</f>
        <v>0</v>
      </c>
      <c r="N84" s="72">
        <f t="shared" si="111"/>
        <v>0</v>
      </c>
      <c r="O84" s="70">
        <f>SUM(O12,O24,O36,O48,O60,O72)</f>
        <v>6</v>
      </c>
      <c r="P84" s="70">
        <f>SUM(P12,P24,P36,P48,P60,P72)</f>
        <v>0</v>
      </c>
      <c r="Q84" s="72">
        <f t="shared" si="112"/>
        <v>0</v>
      </c>
      <c r="R84" s="70">
        <f>SUM(R12,R24,R36,R48,R60,R72)</f>
        <v>0</v>
      </c>
      <c r="S84" s="70">
        <f>SUM(S12,S24,S36,S48,S60,S72)</f>
        <v>0</v>
      </c>
      <c r="T84" s="72">
        <f t="shared" si="113"/>
        <v>0</v>
      </c>
      <c r="U84" s="70">
        <f>SUM(U12,U24,U36,U48,U60,U72)</f>
        <v>0</v>
      </c>
      <c r="V84" s="70">
        <f>SUM(V12,V24,V36,V48,V60,V72)</f>
        <v>0</v>
      </c>
      <c r="W84" s="72">
        <f t="shared" si="114"/>
        <v>0</v>
      </c>
      <c r="X84" s="70">
        <f>SUM(X12,X24,X36,X48,X60,X72)</f>
        <v>0</v>
      </c>
      <c r="Y84" s="70">
        <f>SUM(Y12,Y24,Y36,Y48,Y60,Y72)</f>
        <v>0</v>
      </c>
      <c r="Z84" s="72">
        <f t="shared" si="115"/>
        <v>0</v>
      </c>
    </row>
    <row r="85" spans="1:26">
      <c r="A85" s="67" t="s">
        <v>76</v>
      </c>
      <c r="B85" s="67" t="s">
        <v>84</v>
      </c>
      <c r="C85" s="68">
        <f>SUM(C13,C25,C37,C49,C61,C73)</f>
        <v>3600</v>
      </c>
      <c r="D85" s="68">
        <f>SUM(D13,D25,D37,D49,D61,D73)</f>
        <v>0</v>
      </c>
      <c r="E85" s="69">
        <f t="shared" si="108"/>
        <v>0</v>
      </c>
      <c r="F85" s="70">
        <f>SUM(F13,F25,F37,F49,F61,F73)</f>
        <v>0</v>
      </c>
      <c r="G85" s="70">
        <f>SUM(G13,G25,G37,G49,G61,G73)</f>
        <v>0</v>
      </c>
      <c r="H85" s="72">
        <f t="shared" si="109"/>
        <v>0</v>
      </c>
      <c r="I85" s="70">
        <f>SUM(I13,I25,I37,I49,I61,I73)</f>
        <v>0</v>
      </c>
      <c r="J85" s="70">
        <f>SUM(J13,J25,J37,J49,J61,J73)</f>
        <v>0</v>
      </c>
      <c r="K85" s="72">
        <f t="shared" si="110"/>
        <v>0</v>
      </c>
      <c r="L85" s="70">
        <f>SUM(L13,L25,L37,L49,L61,L73)</f>
        <v>0</v>
      </c>
      <c r="M85" s="70">
        <f>SUM(M13,M25,M37,M49,M61,M73)</f>
        <v>0</v>
      </c>
      <c r="N85" s="72">
        <f>IFERROR(M85/L85,0)</f>
        <v>0</v>
      </c>
      <c r="O85" s="70">
        <f>SUM(O13,O25,O37,O49,O61,O73)</f>
        <v>720</v>
      </c>
      <c r="P85" s="70">
        <f>SUM(P13,P25,P37,P49,P61,P73)</f>
        <v>0</v>
      </c>
      <c r="Q85" s="72">
        <f t="shared" si="112"/>
        <v>0</v>
      </c>
      <c r="R85" s="70">
        <f>SUM(R13,R25,R37,R49,R61,R73)</f>
        <v>1440</v>
      </c>
      <c r="S85" s="70">
        <f>SUM(S13,S25,S37,S49,S61,S73)</f>
        <v>0</v>
      </c>
      <c r="T85" s="72">
        <f t="shared" si="113"/>
        <v>0</v>
      </c>
      <c r="U85" s="70">
        <f>SUM(U13,U25,U37,U49,U61,U73)</f>
        <v>1440</v>
      </c>
      <c r="V85" s="70">
        <f>SUM(V13,V25,V37,V49,V61,V73)</f>
        <v>0</v>
      </c>
      <c r="W85" s="72">
        <f t="shared" si="114"/>
        <v>0</v>
      </c>
      <c r="X85" s="70">
        <f>SUM(X13,X25,X37,X49,X61,X73)</f>
        <v>0</v>
      </c>
      <c r="Y85" s="70">
        <f>SUM(Y13,Y25,Y37,Y49,Y61,Y73)</f>
        <v>0</v>
      </c>
      <c r="Z85" s="72">
        <f t="shared" si="115"/>
        <v>0</v>
      </c>
    </row>
  </sheetData>
  <mergeCells count="78">
    <mergeCell ref="A75:Z75"/>
    <mergeCell ref="A76:A77"/>
    <mergeCell ref="B76:B77"/>
    <mergeCell ref="C76:E76"/>
    <mergeCell ref="F76:H76"/>
    <mergeCell ref="I76:K76"/>
    <mergeCell ref="L76:N76"/>
    <mergeCell ref="O76:Q76"/>
    <mergeCell ref="R76:T76"/>
    <mergeCell ref="U76:W76"/>
    <mergeCell ref="X76:Z76"/>
    <mergeCell ref="A63:Z63"/>
    <mergeCell ref="A64:A65"/>
    <mergeCell ref="B64:B65"/>
    <mergeCell ref="C64:E64"/>
    <mergeCell ref="F64:H64"/>
    <mergeCell ref="I64:K64"/>
    <mergeCell ref="L64:N64"/>
    <mergeCell ref="O64:Q64"/>
    <mergeCell ref="R64:T64"/>
    <mergeCell ref="U64:W64"/>
    <mergeCell ref="X64:Z64"/>
    <mergeCell ref="A51:Z51"/>
    <mergeCell ref="A52:A53"/>
    <mergeCell ref="B52:B53"/>
    <mergeCell ref="C52:E52"/>
    <mergeCell ref="F52:H52"/>
    <mergeCell ref="I52:K52"/>
    <mergeCell ref="L52:N52"/>
    <mergeCell ref="O52:Q52"/>
    <mergeCell ref="R52:T52"/>
    <mergeCell ref="U52:W52"/>
    <mergeCell ref="X52:Z52"/>
    <mergeCell ref="A39:Z39"/>
    <mergeCell ref="A40:A41"/>
    <mergeCell ref="B40:B41"/>
    <mergeCell ref="C40:E40"/>
    <mergeCell ref="F40:H40"/>
    <mergeCell ref="I40:K40"/>
    <mergeCell ref="L40:N40"/>
    <mergeCell ref="O40:Q40"/>
    <mergeCell ref="R40:T40"/>
    <mergeCell ref="U40:W40"/>
    <mergeCell ref="X40:Z40"/>
    <mergeCell ref="A27:Z27"/>
    <mergeCell ref="A28:A29"/>
    <mergeCell ref="B28:B29"/>
    <mergeCell ref="C28:E28"/>
    <mergeCell ref="F28:H28"/>
    <mergeCell ref="I28:K28"/>
    <mergeCell ref="L28:N28"/>
    <mergeCell ref="O28:Q28"/>
    <mergeCell ref="R28:T28"/>
    <mergeCell ref="U28:W28"/>
    <mergeCell ref="X28:Z28"/>
    <mergeCell ref="A15:Z15"/>
    <mergeCell ref="A16:A17"/>
    <mergeCell ref="B16:B17"/>
    <mergeCell ref="C16:E16"/>
    <mergeCell ref="F16:H16"/>
    <mergeCell ref="I16:K16"/>
    <mergeCell ref="L16:N16"/>
    <mergeCell ref="O16:Q16"/>
    <mergeCell ref="R16:T16"/>
    <mergeCell ref="U16:W16"/>
    <mergeCell ref="X16:Z16"/>
    <mergeCell ref="A1:Z1"/>
    <mergeCell ref="A3:Z3"/>
    <mergeCell ref="A4:A5"/>
    <mergeCell ref="B4:B5"/>
    <mergeCell ref="C4:E4"/>
    <mergeCell ref="F4:H4"/>
    <mergeCell ref="I4:K4"/>
    <mergeCell ref="L4:N4"/>
    <mergeCell ref="O4:Q4"/>
    <mergeCell ref="R4:T4"/>
    <mergeCell ref="U4:W4"/>
    <mergeCell ref="X4:Z4"/>
  </mergeCells>
  <conditionalFormatting sqref="E6:E13">
    <cfRule type="cellIs" dxfId="185" priority="2" operator="lessThan">
      <formula>0.5</formula>
    </cfRule>
    <cfRule type="cellIs" dxfId="184" priority="3" operator="between">
      <formula>0.5</formula>
      <formula>0.7999</formula>
    </cfRule>
    <cfRule type="cellIs" dxfId="183" priority="4" operator="greaterThanOrEqual">
      <formula>0.8</formula>
    </cfRule>
  </conditionalFormatting>
  <conditionalFormatting sqref="E18:E25">
    <cfRule type="cellIs" dxfId="182" priority="26" operator="lessThan">
      <formula>0.5</formula>
    </cfRule>
    <cfRule type="cellIs" dxfId="181" priority="27" operator="between">
      <formula>0.5</formula>
      <formula>0.7999</formula>
    </cfRule>
    <cfRule type="cellIs" dxfId="180" priority="28" operator="greaterThanOrEqual">
      <formula>0.8</formula>
    </cfRule>
  </conditionalFormatting>
  <conditionalFormatting sqref="E30:E37">
    <cfRule type="cellIs" dxfId="179" priority="50" operator="lessThan">
      <formula>0.5</formula>
    </cfRule>
    <cfRule type="cellIs" dxfId="178" priority="51" operator="between">
      <formula>0.5</formula>
      <formula>0.7999</formula>
    </cfRule>
    <cfRule type="cellIs" dxfId="177" priority="52" operator="greaterThanOrEqual">
      <formula>0.8</formula>
    </cfRule>
  </conditionalFormatting>
  <conditionalFormatting sqref="E42:E49">
    <cfRule type="cellIs" dxfId="176" priority="74" operator="lessThan">
      <formula>0.5</formula>
    </cfRule>
    <cfRule type="cellIs" dxfId="175" priority="75" operator="between">
      <formula>0.5</formula>
      <formula>0.7999</formula>
    </cfRule>
    <cfRule type="cellIs" dxfId="174" priority="76" operator="greaterThanOrEqual">
      <formula>0.8</formula>
    </cfRule>
  </conditionalFormatting>
  <conditionalFormatting sqref="E54:E61">
    <cfRule type="cellIs" dxfId="173" priority="98" operator="lessThan">
      <formula>0.5</formula>
    </cfRule>
    <cfRule type="cellIs" dxfId="172" priority="99" operator="between">
      <formula>0.5</formula>
      <formula>0.7999</formula>
    </cfRule>
    <cfRule type="cellIs" dxfId="171" priority="100" operator="greaterThanOrEqual">
      <formula>0.8</formula>
    </cfRule>
  </conditionalFormatting>
  <conditionalFormatting sqref="E66:E73">
    <cfRule type="cellIs" dxfId="170" priority="122" operator="lessThan">
      <formula>0.5</formula>
    </cfRule>
    <cfRule type="cellIs" dxfId="169" priority="123" operator="between">
      <formula>0.5</formula>
      <formula>0.7999</formula>
    </cfRule>
    <cfRule type="cellIs" dxfId="168" priority="124" operator="greaterThanOrEqual">
      <formula>0.8</formula>
    </cfRule>
  </conditionalFormatting>
  <conditionalFormatting sqref="E78:E85">
    <cfRule type="cellIs" dxfId="167" priority="146" operator="lessThan">
      <formula>0.5</formula>
    </cfRule>
    <cfRule type="cellIs" dxfId="166" priority="147" operator="between">
      <formula>0.5</formula>
      <formula>0.7999</formula>
    </cfRule>
    <cfRule type="cellIs" dxfId="165" priority="148" operator="greaterThanOrEqual">
      <formula>0.8</formula>
    </cfRule>
  </conditionalFormatting>
  <conditionalFormatting sqref="H6:H13">
    <cfRule type="cellIs" dxfId="164" priority="5" operator="lessThan">
      <formula>0.5</formula>
    </cfRule>
    <cfRule type="cellIs" dxfId="163" priority="6" operator="between">
      <formula>0.5</formula>
      <formula>0.7999</formula>
    </cfRule>
    <cfRule type="cellIs" dxfId="162" priority="7" operator="greaterThanOrEqual">
      <formula>0.8</formula>
    </cfRule>
  </conditionalFormatting>
  <conditionalFormatting sqref="H18:H25">
    <cfRule type="cellIs" dxfId="161" priority="29" operator="lessThan">
      <formula>0.5</formula>
    </cfRule>
    <cfRule type="cellIs" dxfId="160" priority="30" operator="between">
      <formula>0.5</formula>
      <formula>0.7999</formula>
    </cfRule>
    <cfRule type="cellIs" dxfId="159" priority="31" operator="greaterThanOrEqual">
      <formula>0.8</formula>
    </cfRule>
  </conditionalFormatting>
  <conditionalFormatting sqref="H30:H37">
    <cfRule type="cellIs" dxfId="158" priority="53" operator="lessThan">
      <formula>0.5</formula>
    </cfRule>
    <cfRule type="cellIs" dxfId="157" priority="54" operator="between">
      <formula>0.5</formula>
      <formula>0.7999</formula>
    </cfRule>
    <cfRule type="cellIs" dxfId="156" priority="55" operator="greaterThanOrEqual">
      <formula>0.8</formula>
    </cfRule>
  </conditionalFormatting>
  <conditionalFormatting sqref="H42:H49">
    <cfRule type="cellIs" dxfId="155" priority="77" operator="lessThan">
      <formula>0.5</formula>
    </cfRule>
    <cfRule type="cellIs" dxfId="154" priority="78" operator="between">
      <formula>0.5</formula>
      <formula>0.7999</formula>
    </cfRule>
    <cfRule type="cellIs" dxfId="153" priority="79" operator="greaterThanOrEqual">
      <formula>0.8</formula>
    </cfRule>
  </conditionalFormatting>
  <conditionalFormatting sqref="H54:H61">
    <cfRule type="cellIs" dxfId="152" priority="101" operator="lessThan">
      <formula>0.5</formula>
    </cfRule>
    <cfRule type="cellIs" dxfId="151" priority="102" operator="between">
      <formula>0.5</formula>
      <formula>0.7999</formula>
    </cfRule>
    <cfRule type="cellIs" dxfId="150" priority="103" operator="greaterThanOrEqual">
      <formula>0.8</formula>
    </cfRule>
  </conditionalFormatting>
  <conditionalFormatting sqref="H66:H73">
    <cfRule type="cellIs" dxfId="149" priority="125" operator="lessThan">
      <formula>0.5</formula>
    </cfRule>
    <cfRule type="cellIs" dxfId="148" priority="126" operator="between">
      <formula>0.5</formula>
      <formula>0.7999</formula>
    </cfRule>
    <cfRule type="cellIs" dxfId="147" priority="127" operator="greaterThanOrEqual">
      <formula>0.8</formula>
    </cfRule>
  </conditionalFormatting>
  <conditionalFormatting sqref="H78:H85">
    <cfRule type="cellIs" dxfId="146" priority="149" operator="lessThan">
      <formula>0.5</formula>
    </cfRule>
    <cfRule type="cellIs" dxfId="145" priority="150" operator="between">
      <formula>0.5</formula>
      <formula>0.7999</formula>
    </cfRule>
    <cfRule type="cellIs" dxfId="144" priority="151" operator="greaterThanOrEqual">
      <formula>0.8</formula>
    </cfRule>
  </conditionalFormatting>
  <conditionalFormatting sqref="K6:K13">
    <cfRule type="cellIs" dxfId="143" priority="8" operator="lessThan">
      <formula>0.5</formula>
    </cfRule>
    <cfRule type="cellIs" dxfId="142" priority="9" operator="between">
      <formula>0.5</formula>
      <formula>0.7999</formula>
    </cfRule>
    <cfRule type="cellIs" dxfId="141" priority="10" operator="greaterThanOrEqual">
      <formula>0.8</formula>
    </cfRule>
  </conditionalFormatting>
  <conditionalFormatting sqref="K18:K25">
    <cfRule type="cellIs" dxfId="140" priority="32" operator="lessThan">
      <formula>0.5</formula>
    </cfRule>
    <cfRule type="cellIs" dxfId="139" priority="33" operator="between">
      <formula>0.5</formula>
      <formula>0.7999</formula>
    </cfRule>
    <cfRule type="cellIs" dxfId="138" priority="34" operator="greaterThanOrEqual">
      <formula>0.8</formula>
    </cfRule>
  </conditionalFormatting>
  <conditionalFormatting sqref="K30:K37">
    <cfRule type="cellIs" dxfId="137" priority="56" operator="lessThan">
      <formula>0.5</formula>
    </cfRule>
    <cfRule type="cellIs" dxfId="136" priority="57" operator="between">
      <formula>0.5</formula>
      <formula>0.7999</formula>
    </cfRule>
    <cfRule type="cellIs" dxfId="135" priority="58" operator="greaterThanOrEqual">
      <formula>0.8</formula>
    </cfRule>
  </conditionalFormatting>
  <conditionalFormatting sqref="K42:K49">
    <cfRule type="cellIs" dxfId="134" priority="80" operator="lessThan">
      <formula>0.5</formula>
    </cfRule>
    <cfRule type="cellIs" dxfId="133" priority="81" operator="between">
      <formula>0.5</formula>
      <formula>0.7999</formula>
    </cfRule>
    <cfRule type="cellIs" dxfId="132" priority="82" operator="greaterThanOrEqual">
      <formula>0.8</formula>
    </cfRule>
  </conditionalFormatting>
  <conditionalFormatting sqref="K54:K61">
    <cfRule type="cellIs" dxfId="131" priority="104" operator="lessThan">
      <formula>0.5</formula>
    </cfRule>
    <cfRule type="cellIs" dxfId="130" priority="105" operator="between">
      <formula>0.5</formula>
      <formula>0.7999</formula>
    </cfRule>
    <cfRule type="cellIs" dxfId="129" priority="106" operator="greaterThanOrEqual">
      <formula>0.8</formula>
    </cfRule>
  </conditionalFormatting>
  <conditionalFormatting sqref="K66:K73">
    <cfRule type="cellIs" dxfId="128" priority="128" operator="lessThan">
      <formula>0.5</formula>
    </cfRule>
    <cfRule type="cellIs" dxfId="127" priority="129" operator="between">
      <formula>0.5</formula>
      <formula>0.7999</formula>
    </cfRule>
    <cfRule type="cellIs" dxfId="126" priority="130" operator="greaterThanOrEqual">
      <formula>0.8</formula>
    </cfRule>
  </conditionalFormatting>
  <conditionalFormatting sqref="K78:K85">
    <cfRule type="cellIs" dxfId="125" priority="152" operator="lessThan">
      <formula>0.5</formula>
    </cfRule>
    <cfRule type="cellIs" dxfId="124" priority="153" operator="between">
      <formula>0.5</formula>
      <formula>0.7999</formula>
    </cfRule>
    <cfRule type="cellIs" dxfId="123" priority="154" operator="greaterThanOrEqual">
      <formula>0.8</formula>
    </cfRule>
  </conditionalFormatting>
  <conditionalFormatting sqref="N6:N13">
    <cfRule type="cellIs" dxfId="122" priority="11" operator="lessThan">
      <formula>0.5</formula>
    </cfRule>
    <cfRule type="cellIs" dxfId="121" priority="12" operator="between">
      <formula>0.5</formula>
      <formula>0.7999</formula>
    </cfRule>
    <cfRule type="cellIs" dxfId="120" priority="13" operator="greaterThanOrEqual">
      <formula>0.8</formula>
    </cfRule>
  </conditionalFormatting>
  <conditionalFormatting sqref="N18:N25">
    <cfRule type="cellIs" dxfId="119" priority="35" operator="lessThan">
      <formula>0.5</formula>
    </cfRule>
    <cfRule type="cellIs" dxfId="118" priority="36" operator="between">
      <formula>0.5</formula>
      <formula>0.7999</formula>
    </cfRule>
    <cfRule type="cellIs" dxfId="117" priority="37" operator="greaterThanOrEqual">
      <formula>0.8</formula>
    </cfRule>
  </conditionalFormatting>
  <conditionalFormatting sqref="N30:N37">
    <cfRule type="cellIs" dxfId="116" priority="59" operator="lessThan">
      <formula>0.5</formula>
    </cfRule>
    <cfRule type="cellIs" dxfId="115" priority="60" operator="between">
      <formula>0.5</formula>
      <formula>0.7999</formula>
    </cfRule>
    <cfRule type="cellIs" dxfId="114" priority="61" operator="greaterThanOrEqual">
      <formula>0.8</formula>
    </cfRule>
  </conditionalFormatting>
  <conditionalFormatting sqref="N42:N49">
    <cfRule type="cellIs" dxfId="113" priority="83" operator="lessThan">
      <formula>0.5</formula>
    </cfRule>
    <cfRule type="cellIs" dxfId="112" priority="84" operator="between">
      <formula>0.5</formula>
      <formula>0.7999</formula>
    </cfRule>
    <cfRule type="cellIs" dxfId="111" priority="85" operator="greaterThanOrEqual">
      <formula>0.8</formula>
    </cfRule>
  </conditionalFormatting>
  <conditionalFormatting sqref="N54:N61">
    <cfRule type="cellIs" dxfId="110" priority="107" operator="lessThan">
      <formula>0.5</formula>
    </cfRule>
    <cfRule type="cellIs" dxfId="109" priority="108" operator="between">
      <formula>0.5</formula>
      <formula>0.7999</formula>
    </cfRule>
    <cfRule type="cellIs" dxfId="108" priority="109" operator="greaterThanOrEqual">
      <formula>0.8</formula>
    </cfRule>
  </conditionalFormatting>
  <conditionalFormatting sqref="N66:N73">
    <cfRule type="cellIs" dxfId="107" priority="131" operator="lessThan">
      <formula>0.5</formula>
    </cfRule>
    <cfRule type="cellIs" dxfId="106" priority="132" operator="between">
      <formula>0.5</formula>
      <formula>0.7999</formula>
    </cfRule>
    <cfRule type="cellIs" dxfId="105" priority="133" operator="greaterThanOrEqual">
      <formula>0.8</formula>
    </cfRule>
  </conditionalFormatting>
  <conditionalFormatting sqref="N78:N85">
    <cfRule type="cellIs" dxfId="104" priority="155" operator="lessThan">
      <formula>0.5</formula>
    </cfRule>
    <cfRule type="cellIs" dxfId="103" priority="156" operator="between">
      <formula>0.5</formula>
      <formula>0.7999</formula>
    </cfRule>
    <cfRule type="cellIs" dxfId="102" priority="157" operator="greaterThanOrEqual">
      <formula>0.8</formula>
    </cfRule>
  </conditionalFormatting>
  <conditionalFormatting sqref="Q6:Q13">
    <cfRule type="cellIs" dxfId="101" priority="14" operator="lessThan">
      <formula>0.5</formula>
    </cfRule>
    <cfRule type="cellIs" dxfId="100" priority="15" operator="between">
      <formula>0.5</formula>
      <formula>0.7999</formula>
    </cfRule>
    <cfRule type="cellIs" dxfId="99" priority="16" operator="greaterThanOrEqual">
      <formula>0.8</formula>
    </cfRule>
  </conditionalFormatting>
  <conditionalFormatting sqref="Q18:Q25">
    <cfRule type="cellIs" dxfId="98" priority="38" operator="lessThan">
      <formula>0.5</formula>
    </cfRule>
    <cfRule type="cellIs" dxfId="97" priority="39" operator="between">
      <formula>0.5</formula>
      <formula>0.7999</formula>
    </cfRule>
    <cfRule type="cellIs" dxfId="96" priority="40" operator="greaterThanOrEqual">
      <formula>0.8</formula>
    </cfRule>
  </conditionalFormatting>
  <conditionalFormatting sqref="Q30:Q37">
    <cfRule type="cellIs" dxfId="95" priority="62" operator="lessThan">
      <formula>0.5</formula>
    </cfRule>
    <cfRule type="cellIs" dxfId="94" priority="63" operator="between">
      <formula>0.5</formula>
      <formula>0.7999</formula>
    </cfRule>
    <cfRule type="cellIs" dxfId="93" priority="64" operator="greaterThanOrEqual">
      <formula>0.8</formula>
    </cfRule>
  </conditionalFormatting>
  <conditionalFormatting sqref="Q42:Q49">
    <cfRule type="cellIs" dxfId="92" priority="86" operator="lessThan">
      <formula>0.5</formula>
    </cfRule>
    <cfRule type="cellIs" dxfId="91" priority="87" operator="between">
      <formula>0.5</formula>
      <formula>0.7999</formula>
    </cfRule>
    <cfRule type="cellIs" dxfId="90" priority="88" operator="greaterThanOrEqual">
      <formula>0.8</formula>
    </cfRule>
  </conditionalFormatting>
  <conditionalFormatting sqref="Q54:Q61">
    <cfRule type="cellIs" dxfId="89" priority="110" operator="lessThan">
      <formula>0.5</formula>
    </cfRule>
    <cfRule type="cellIs" dxfId="88" priority="111" operator="between">
      <formula>0.5</formula>
      <formula>0.7999</formula>
    </cfRule>
    <cfRule type="cellIs" dxfId="87" priority="112" operator="greaterThanOrEqual">
      <formula>0.8</formula>
    </cfRule>
  </conditionalFormatting>
  <conditionalFormatting sqref="Q66:Q73">
    <cfRule type="cellIs" dxfId="86" priority="134" operator="lessThan">
      <formula>0.5</formula>
    </cfRule>
    <cfRule type="cellIs" dxfId="85" priority="135" operator="between">
      <formula>0.5</formula>
      <formula>0.7999</formula>
    </cfRule>
    <cfRule type="cellIs" dxfId="84" priority="136" operator="greaterThanOrEqual">
      <formula>0.8</formula>
    </cfRule>
  </conditionalFormatting>
  <conditionalFormatting sqref="Q78:Q85">
    <cfRule type="cellIs" dxfId="83" priority="158" operator="lessThan">
      <formula>0.5</formula>
    </cfRule>
    <cfRule type="cellIs" dxfId="82" priority="159" operator="between">
      <formula>0.5</formula>
      <formula>0.7999</formula>
    </cfRule>
    <cfRule type="cellIs" dxfId="81" priority="160" operator="greaterThanOrEqual">
      <formula>0.8</formula>
    </cfRule>
  </conditionalFormatting>
  <conditionalFormatting sqref="T6:T13">
    <cfRule type="cellIs" dxfId="80" priority="17" operator="lessThan">
      <formula>0.5</formula>
    </cfRule>
    <cfRule type="cellIs" dxfId="79" priority="18" operator="between">
      <formula>0.5</formula>
      <formula>0.7999</formula>
    </cfRule>
    <cfRule type="cellIs" dxfId="78" priority="19" operator="greaterThanOrEqual">
      <formula>0.8</formula>
    </cfRule>
  </conditionalFormatting>
  <conditionalFormatting sqref="T18:T25">
    <cfRule type="cellIs" dxfId="77" priority="41" operator="lessThan">
      <formula>0.5</formula>
    </cfRule>
    <cfRule type="cellIs" dxfId="76" priority="42" operator="between">
      <formula>0.5</formula>
      <formula>0.7999</formula>
    </cfRule>
    <cfRule type="cellIs" dxfId="75" priority="43" operator="greaterThanOrEqual">
      <formula>0.8</formula>
    </cfRule>
  </conditionalFormatting>
  <conditionalFormatting sqref="T30:T37">
    <cfRule type="cellIs" dxfId="74" priority="65" operator="lessThan">
      <formula>0.5</formula>
    </cfRule>
    <cfRule type="cellIs" dxfId="73" priority="66" operator="between">
      <formula>0.5</formula>
      <formula>0.7999</formula>
    </cfRule>
    <cfRule type="cellIs" dxfId="72" priority="67" operator="greaterThanOrEqual">
      <formula>0.8</formula>
    </cfRule>
  </conditionalFormatting>
  <conditionalFormatting sqref="T42:T49">
    <cfRule type="cellIs" dxfId="71" priority="89" operator="lessThan">
      <formula>0.5</formula>
    </cfRule>
    <cfRule type="cellIs" dxfId="70" priority="90" operator="between">
      <formula>0.5</formula>
      <formula>0.7999</formula>
    </cfRule>
    <cfRule type="cellIs" dxfId="69" priority="91" operator="greaterThanOrEqual">
      <formula>0.8</formula>
    </cfRule>
  </conditionalFormatting>
  <conditionalFormatting sqref="T54:T61">
    <cfRule type="cellIs" dxfId="68" priority="113" operator="lessThan">
      <formula>0.5</formula>
    </cfRule>
    <cfRule type="cellIs" dxfId="67" priority="114" operator="between">
      <formula>0.5</formula>
      <formula>0.7999</formula>
    </cfRule>
    <cfRule type="cellIs" dxfId="66" priority="115" operator="greaterThanOrEqual">
      <formula>0.8</formula>
    </cfRule>
  </conditionalFormatting>
  <conditionalFormatting sqref="T66:T73">
    <cfRule type="cellIs" dxfId="65" priority="137" operator="lessThan">
      <formula>0.5</formula>
    </cfRule>
    <cfRule type="cellIs" dxfId="64" priority="138" operator="between">
      <formula>0.5</formula>
      <formula>0.7999</formula>
    </cfRule>
    <cfRule type="cellIs" dxfId="63" priority="139" operator="greaterThanOrEqual">
      <formula>0.8</formula>
    </cfRule>
  </conditionalFormatting>
  <conditionalFormatting sqref="T78:T85">
    <cfRule type="cellIs" dxfId="62" priority="161" operator="lessThan">
      <formula>0.5</formula>
    </cfRule>
    <cfRule type="cellIs" dxfId="61" priority="162" operator="between">
      <formula>0.5</formula>
      <formula>0.7999</formula>
    </cfRule>
    <cfRule type="cellIs" dxfId="60" priority="163" operator="greaterThanOrEqual">
      <formula>0.8</formula>
    </cfRule>
  </conditionalFormatting>
  <conditionalFormatting sqref="W6:W13">
    <cfRule type="cellIs" dxfId="59" priority="20" operator="lessThan">
      <formula>0.5</formula>
    </cfRule>
    <cfRule type="cellIs" dxfId="58" priority="21" operator="between">
      <formula>0.5</formula>
      <formula>0.7999</formula>
    </cfRule>
    <cfRule type="cellIs" dxfId="57" priority="22" operator="greaterThanOrEqual">
      <formula>0.8</formula>
    </cfRule>
  </conditionalFormatting>
  <conditionalFormatting sqref="W18:W25">
    <cfRule type="cellIs" dxfId="56" priority="44" operator="lessThan">
      <formula>0.5</formula>
    </cfRule>
    <cfRule type="cellIs" dxfId="55" priority="45" operator="between">
      <formula>0.5</formula>
      <formula>0.7999</formula>
    </cfRule>
    <cfRule type="cellIs" dxfId="54" priority="46" operator="greaterThanOrEqual">
      <formula>0.8</formula>
    </cfRule>
  </conditionalFormatting>
  <conditionalFormatting sqref="W30:W37">
    <cfRule type="cellIs" dxfId="53" priority="68" operator="lessThan">
      <formula>0.5</formula>
    </cfRule>
    <cfRule type="cellIs" dxfId="52" priority="69" operator="between">
      <formula>0.5</formula>
      <formula>0.7999</formula>
    </cfRule>
    <cfRule type="cellIs" dxfId="51" priority="70" operator="greaterThanOrEqual">
      <formula>0.8</formula>
    </cfRule>
  </conditionalFormatting>
  <conditionalFormatting sqref="W42:W49">
    <cfRule type="cellIs" dxfId="50" priority="92" operator="lessThan">
      <formula>0.5</formula>
    </cfRule>
    <cfRule type="cellIs" dxfId="49" priority="93" operator="between">
      <formula>0.5</formula>
      <formula>0.7999</formula>
    </cfRule>
    <cfRule type="cellIs" dxfId="48" priority="94" operator="greaterThanOrEqual">
      <formula>0.8</formula>
    </cfRule>
  </conditionalFormatting>
  <conditionalFormatting sqref="W54:W61">
    <cfRule type="cellIs" dxfId="47" priority="116" operator="lessThan">
      <formula>0.5</formula>
    </cfRule>
    <cfRule type="cellIs" dxfId="46" priority="117" operator="between">
      <formula>0.5</formula>
      <formula>0.7999</formula>
    </cfRule>
    <cfRule type="cellIs" dxfId="45" priority="118" operator="greaterThanOrEqual">
      <formula>0.8</formula>
    </cfRule>
  </conditionalFormatting>
  <conditionalFormatting sqref="W66:W73">
    <cfRule type="cellIs" dxfId="44" priority="140" operator="lessThan">
      <formula>0.5</formula>
    </cfRule>
    <cfRule type="cellIs" dxfId="43" priority="141" operator="between">
      <formula>0.5</formula>
      <formula>0.7999</formula>
    </cfRule>
    <cfRule type="cellIs" dxfId="42" priority="142" operator="greaterThanOrEqual">
      <formula>0.8</formula>
    </cfRule>
  </conditionalFormatting>
  <conditionalFormatting sqref="W78:W85">
    <cfRule type="cellIs" dxfId="41" priority="164" operator="lessThan">
      <formula>0.5</formula>
    </cfRule>
    <cfRule type="cellIs" dxfId="40" priority="165" operator="between">
      <formula>0.5</formula>
      <formula>0.7999</formula>
    </cfRule>
    <cfRule type="cellIs" dxfId="39" priority="166" operator="greaterThanOrEqual">
      <formula>0.8</formula>
    </cfRule>
  </conditionalFormatting>
  <conditionalFormatting sqref="Z6:Z13">
    <cfRule type="cellIs" dxfId="38" priority="23" operator="lessThan">
      <formula>0.5</formula>
    </cfRule>
    <cfRule type="cellIs" dxfId="37" priority="24" operator="between">
      <formula>0.5</formula>
      <formula>0.7999</formula>
    </cfRule>
    <cfRule type="cellIs" dxfId="36" priority="25" operator="greaterThanOrEqual">
      <formula>0.8</formula>
    </cfRule>
  </conditionalFormatting>
  <conditionalFormatting sqref="Z18:Z25">
    <cfRule type="cellIs" dxfId="35" priority="47" operator="lessThan">
      <formula>0.5</formula>
    </cfRule>
    <cfRule type="cellIs" dxfId="34" priority="48" operator="between">
      <formula>0.5</formula>
      <formula>0.7999</formula>
    </cfRule>
    <cfRule type="cellIs" dxfId="33" priority="49" operator="greaterThanOrEqual">
      <formula>0.8</formula>
    </cfRule>
  </conditionalFormatting>
  <conditionalFormatting sqref="Z30:Z37">
    <cfRule type="cellIs" dxfId="32" priority="71" operator="lessThan">
      <formula>0.5</formula>
    </cfRule>
    <cfRule type="cellIs" dxfId="31" priority="72" operator="between">
      <formula>0.5</formula>
      <formula>0.7999</formula>
    </cfRule>
    <cfRule type="cellIs" dxfId="30" priority="73" operator="greaterThanOrEqual">
      <formula>0.8</formula>
    </cfRule>
  </conditionalFormatting>
  <conditionalFormatting sqref="Z42:Z49">
    <cfRule type="cellIs" dxfId="29" priority="95" operator="lessThan">
      <formula>0.5</formula>
    </cfRule>
    <cfRule type="cellIs" dxfId="28" priority="96" operator="between">
      <formula>0.5</formula>
      <formula>0.7999</formula>
    </cfRule>
    <cfRule type="cellIs" dxfId="27" priority="97" operator="greaterThanOrEqual">
      <formula>0.8</formula>
    </cfRule>
  </conditionalFormatting>
  <conditionalFormatting sqref="Z54:Z61">
    <cfRule type="cellIs" dxfId="26" priority="119" operator="lessThan">
      <formula>0.5</formula>
    </cfRule>
    <cfRule type="cellIs" dxfId="25" priority="120" operator="between">
      <formula>0.5</formula>
      <formula>0.7999</formula>
    </cfRule>
    <cfRule type="cellIs" dxfId="24" priority="121" operator="greaterThanOrEqual">
      <formula>0.8</formula>
    </cfRule>
  </conditionalFormatting>
  <conditionalFormatting sqref="Z66:Z73">
    <cfRule type="cellIs" dxfId="23" priority="143" operator="lessThan">
      <formula>0.5</formula>
    </cfRule>
    <cfRule type="cellIs" dxfId="22" priority="144" operator="between">
      <formula>0.5</formula>
      <formula>0.7999</formula>
    </cfRule>
    <cfRule type="cellIs" dxfId="21" priority="145" operator="greaterThanOrEqual">
      <formula>0.8</formula>
    </cfRule>
  </conditionalFormatting>
  <conditionalFormatting sqref="Z78:Z85">
    <cfRule type="cellIs" dxfId="20" priority="167" operator="lessThan">
      <formula>0.5</formula>
    </cfRule>
    <cfRule type="cellIs" dxfId="19" priority="168" operator="between">
      <formula>0.5</formula>
      <formula>0.7999</formula>
    </cfRule>
    <cfRule type="cellIs" dxfId="18" priority="169" operator="greaterThanOrEqual">
      <formula>0.8</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W38"/>
  <sheetViews>
    <sheetView zoomScaleNormal="100" workbookViewId="0">
      <pane xSplit="2" ySplit="3" topLeftCell="C4" activePane="bottomRight" state="frozen"/>
      <selection pane="bottomRight" activeCell="C12" sqref="C12"/>
      <selection pane="bottomLeft" activeCell="A4" sqref="A4"/>
      <selection pane="topRight" activeCell="C1" sqref="C1"/>
    </sheetView>
  </sheetViews>
  <sheetFormatPr defaultColWidth="8.7109375" defaultRowHeight="15"/>
  <cols>
    <col min="1" max="1" width="14" customWidth="1"/>
    <col min="2" max="2" width="45" customWidth="1"/>
    <col min="3" max="12" width="12" customWidth="1"/>
  </cols>
  <sheetData>
    <row r="1" spans="1:12" ht="27.75" customHeight="1">
      <c r="A1" s="176" t="s">
        <v>113</v>
      </c>
      <c r="B1" s="176"/>
      <c r="C1" s="176"/>
      <c r="D1" s="176"/>
      <c r="E1" s="176"/>
      <c r="F1" s="176"/>
      <c r="G1" s="176"/>
      <c r="H1" s="176"/>
      <c r="I1" s="176"/>
      <c r="J1" s="176"/>
      <c r="K1" s="176"/>
      <c r="L1" s="176"/>
    </row>
    <row r="3" spans="1:12" ht="36" customHeight="1">
      <c r="A3" s="1" t="s">
        <v>56</v>
      </c>
      <c r="B3" s="1" t="s">
        <v>57</v>
      </c>
      <c r="C3" s="1" t="s">
        <v>114</v>
      </c>
      <c r="D3" s="1" t="s">
        <v>115</v>
      </c>
      <c r="E3" s="1" t="s">
        <v>116</v>
      </c>
      <c r="F3" s="1" t="s">
        <v>117</v>
      </c>
      <c r="G3" s="1" t="s">
        <v>118</v>
      </c>
      <c r="H3" s="1" t="s">
        <v>119</v>
      </c>
      <c r="I3" s="1" t="s">
        <v>120</v>
      </c>
      <c r="J3" s="1" t="s">
        <v>121</v>
      </c>
      <c r="K3" s="1" t="s">
        <v>122</v>
      </c>
    </row>
    <row r="4" spans="1:12">
      <c r="A4" s="67" t="s">
        <v>76</v>
      </c>
      <c r="B4" s="67" t="s">
        <v>123</v>
      </c>
      <c r="C4" s="70">
        <f>'Seguimiento Cauca'!C44</f>
        <v>480</v>
      </c>
      <c r="D4" s="70">
        <f>'Seguimiento Cauca'!D44</f>
        <v>0</v>
      </c>
      <c r="E4" s="72">
        <f t="shared" ref="E4:E18" si="0">IFERROR(D4/C4,0)</f>
        <v>0</v>
      </c>
      <c r="F4" s="70">
        <f>'Seguimiento NdS'!C78</f>
        <v>1120</v>
      </c>
      <c r="G4" s="70">
        <f>'Seguimiento NdS'!D78</f>
        <v>0</v>
      </c>
      <c r="H4" s="72">
        <f t="shared" ref="H4:H18" si="1">IFERROR(G4/F4,0)</f>
        <v>0</v>
      </c>
      <c r="I4" s="70">
        <f t="shared" ref="I4:I18" si="2">C4+F4</f>
        <v>1600</v>
      </c>
      <c r="J4" s="70">
        <f t="shared" ref="J4:J18" si="3">D4+G4</f>
        <v>0</v>
      </c>
      <c r="K4" s="72">
        <f t="shared" ref="K4:K18" si="4">IFERROR(J4/I4,0)</f>
        <v>0</v>
      </c>
    </row>
    <row r="5" spans="1:12">
      <c r="A5" s="67" t="s">
        <v>76</v>
      </c>
      <c r="B5" s="67" t="s">
        <v>124</v>
      </c>
      <c r="C5" s="70">
        <f>'Seguimiento Cauca'!C45</f>
        <v>1920</v>
      </c>
      <c r="D5" s="70">
        <f>'Seguimiento Cauca'!D45</f>
        <v>0</v>
      </c>
      <c r="E5" s="72">
        <f t="shared" si="0"/>
        <v>0</v>
      </c>
      <c r="F5" s="70">
        <f>'Seguimiento NdS'!C79</f>
        <v>4480</v>
      </c>
      <c r="G5" s="70">
        <f>'Seguimiento NdS'!D79</f>
        <v>0</v>
      </c>
      <c r="H5" s="72">
        <f t="shared" si="1"/>
        <v>0</v>
      </c>
      <c r="I5" s="70">
        <f t="shared" si="2"/>
        <v>6400</v>
      </c>
      <c r="J5" s="70">
        <f t="shared" si="3"/>
        <v>0</v>
      </c>
      <c r="K5" s="72">
        <f t="shared" si="4"/>
        <v>0</v>
      </c>
    </row>
    <row r="6" spans="1:12">
      <c r="A6" s="67" t="s">
        <v>76</v>
      </c>
      <c r="B6" s="67" t="s">
        <v>79</v>
      </c>
      <c r="C6" s="70">
        <f>'Seguimiento Cauca'!C46</f>
        <v>576</v>
      </c>
      <c r="D6" s="70">
        <f>'Seguimiento Cauca'!D46</f>
        <v>0</v>
      </c>
      <c r="E6" s="72">
        <f t="shared" si="0"/>
        <v>0</v>
      </c>
      <c r="F6" s="70">
        <f>'Seguimiento NdS'!C80</f>
        <v>576</v>
      </c>
      <c r="G6" s="70">
        <f>'Seguimiento NdS'!D80</f>
        <v>0</v>
      </c>
      <c r="H6" s="72">
        <f t="shared" si="1"/>
        <v>0</v>
      </c>
      <c r="I6" s="70">
        <f t="shared" si="2"/>
        <v>1152</v>
      </c>
      <c r="J6" s="70">
        <f t="shared" si="3"/>
        <v>0</v>
      </c>
      <c r="K6" s="72">
        <f t="shared" si="4"/>
        <v>0</v>
      </c>
    </row>
    <row r="7" spans="1:12">
      <c r="A7" s="67" t="s">
        <v>76</v>
      </c>
      <c r="B7" s="67" t="s">
        <v>80</v>
      </c>
      <c r="C7" s="70">
        <f>'Seguimiento Cauca'!C47</f>
        <v>230</v>
      </c>
      <c r="D7" s="70">
        <f>'Seguimiento Cauca'!D47</f>
        <v>0</v>
      </c>
      <c r="E7" s="72">
        <f t="shared" si="0"/>
        <v>0</v>
      </c>
      <c r="F7" s="70">
        <f>'Seguimiento NdS'!C81</f>
        <v>173</v>
      </c>
      <c r="G7" s="70">
        <f>'Seguimiento NdS'!D81</f>
        <v>0</v>
      </c>
      <c r="H7" s="72">
        <f t="shared" si="1"/>
        <v>0</v>
      </c>
      <c r="I7" s="70">
        <f t="shared" si="2"/>
        <v>403</v>
      </c>
      <c r="J7" s="70">
        <f t="shared" si="3"/>
        <v>0</v>
      </c>
      <c r="K7" s="72">
        <f t="shared" si="4"/>
        <v>0</v>
      </c>
    </row>
    <row r="8" spans="1:12">
      <c r="A8" s="67" t="s">
        <v>76</v>
      </c>
      <c r="B8" s="67" t="s">
        <v>81</v>
      </c>
      <c r="C8" s="70">
        <f>'Seguimiento Cauca'!C48</f>
        <v>600</v>
      </c>
      <c r="D8" s="70">
        <f>'Seguimiento Cauca'!D48</f>
        <v>0</v>
      </c>
      <c r="E8" s="72">
        <f t="shared" si="0"/>
        <v>0</v>
      </c>
      <c r="F8" s="70">
        <f>'Seguimiento NdS'!C82</f>
        <v>1800</v>
      </c>
      <c r="G8" s="70">
        <f>'Seguimiento NdS'!D82</f>
        <v>0</v>
      </c>
      <c r="H8" s="72">
        <f t="shared" si="1"/>
        <v>0</v>
      </c>
      <c r="I8" s="70">
        <f t="shared" si="2"/>
        <v>2400</v>
      </c>
      <c r="J8" s="70">
        <f t="shared" si="3"/>
        <v>0</v>
      </c>
      <c r="K8" s="72">
        <f t="shared" si="4"/>
        <v>0</v>
      </c>
    </row>
    <row r="9" spans="1:12">
      <c r="A9" s="67" t="s">
        <v>76</v>
      </c>
      <c r="B9" s="67" t="s">
        <v>82</v>
      </c>
      <c r="C9" s="70">
        <f>'Seguimiento Cauca'!C49</f>
        <v>2400</v>
      </c>
      <c r="D9" s="70">
        <f>'Seguimiento Cauca'!D49</f>
        <v>0</v>
      </c>
      <c r="E9" s="72">
        <f t="shared" ref="E9" si="5">IFERROR(D9/C9,0)</f>
        <v>0</v>
      </c>
      <c r="F9" s="70">
        <f>'Seguimiento NdS'!C83</f>
        <v>7200</v>
      </c>
      <c r="G9" s="70">
        <f>'Seguimiento NdS'!D83</f>
        <v>0</v>
      </c>
      <c r="H9" s="72">
        <f t="shared" ref="H9" si="6">IFERROR(G9/F9,0)</f>
        <v>0</v>
      </c>
      <c r="I9" s="70">
        <f t="shared" ref="I9" si="7">C9+F9</f>
        <v>9600</v>
      </c>
      <c r="J9" s="70">
        <f t="shared" ref="J9" si="8">D9+G9</f>
        <v>0</v>
      </c>
      <c r="K9" s="72">
        <f t="shared" ref="K9" si="9">IFERROR(J9/I9,0)</f>
        <v>0</v>
      </c>
    </row>
    <row r="10" spans="1:12">
      <c r="A10" s="67" t="s">
        <v>76</v>
      </c>
      <c r="B10" s="67" t="s">
        <v>125</v>
      </c>
      <c r="C10" s="70">
        <f>'Seguimiento Cauca'!C50</f>
        <v>2</v>
      </c>
      <c r="D10" s="70">
        <f>'Seguimiento Cauca'!D50</f>
        <v>0</v>
      </c>
      <c r="E10" s="72">
        <f t="shared" si="0"/>
        <v>0</v>
      </c>
      <c r="F10" s="70">
        <f>'Seguimiento NdS'!C84</f>
        <v>6</v>
      </c>
      <c r="G10" s="70">
        <f>'Seguimiento NdS'!D84</f>
        <v>0</v>
      </c>
      <c r="H10" s="72">
        <f t="shared" si="1"/>
        <v>0</v>
      </c>
      <c r="I10" s="70">
        <f t="shared" si="2"/>
        <v>8</v>
      </c>
      <c r="J10" s="70">
        <f t="shared" si="3"/>
        <v>0</v>
      </c>
      <c r="K10" s="72">
        <f t="shared" si="4"/>
        <v>0</v>
      </c>
    </row>
    <row r="11" spans="1:12">
      <c r="A11" s="67" t="s">
        <v>76</v>
      </c>
      <c r="B11" s="67" t="s">
        <v>126</v>
      </c>
      <c r="C11" s="70">
        <f>'Seguimiento Cauca'!C51</f>
        <v>1800</v>
      </c>
      <c r="D11" s="70">
        <f>'Seguimiento Cauca'!D51</f>
        <v>0</v>
      </c>
      <c r="E11" s="72">
        <f t="shared" si="0"/>
        <v>0</v>
      </c>
      <c r="F11" s="70">
        <f>'Seguimiento NdS'!C85</f>
        <v>3600</v>
      </c>
      <c r="G11" s="70">
        <f>'Seguimiento NdS'!D85</f>
        <v>0</v>
      </c>
      <c r="H11" s="72">
        <f t="shared" si="1"/>
        <v>0</v>
      </c>
      <c r="I11" s="70">
        <f t="shared" si="2"/>
        <v>5400</v>
      </c>
      <c r="J11" s="70">
        <f t="shared" si="3"/>
        <v>0</v>
      </c>
      <c r="K11" s="72">
        <f t="shared" si="4"/>
        <v>0</v>
      </c>
    </row>
    <row r="12" spans="1:12">
      <c r="A12" s="67" t="s">
        <v>85</v>
      </c>
      <c r="B12" s="67" t="s">
        <v>86</v>
      </c>
      <c r="C12" s="70">
        <f>'Seguimiento Cauca'!C52</f>
        <v>1400</v>
      </c>
      <c r="D12" s="70">
        <f>'Seguimiento Cauca'!D52</f>
        <v>0</v>
      </c>
      <c r="E12" s="72">
        <f t="shared" si="0"/>
        <v>0</v>
      </c>
      <c r="F12" s="70">
        <v>0</v>
      </c>
      <c r="G12" s="70">
        <v>0</v>
      </c>
      <c r="H12" s="72">
        <f t="shared" si="1"/>
        <v>0</v>
      </c>
      <c r="I12" s="70">
        <f t="shared" si="2"/>
        <v>1400</v>
      </c>
      <c r="J12" s="70">
        <f t="shared" si="3"/>
        <v>0</v>
      </c>
      <c r="K12" s="72">
        <f t="shared" si="4"/>
        <v>0</v>
      </c>
    </row>
    <row r="13" spans="1:12">
      <c r="A13" s="67" t="s">
        <v>85</v>
      </c>
      <c r="B13" s="67" t="s">
        <v>127</v>
      </c>
      <c r="C13" s="70">
        <f>'Seguimiento Cauca'!C53</f>
        <v>2690</v>
      </c>
      <c r="D13" s="70">
        <f>'Seguimiento Cauca'!D53</f>
        <v>0</v>
      </c>
      <c r="E13" s="72">
        <f t="shared" si="0"/>
        <v>0</v>
      </c>
      <c r="F13" s="70">
        <v>0</v>
      </c>
      <c r="G13" s="70">
        <v>0</v>
      </c>
      <c r="H13" s="72">
        <f t="shared" si="1"/>
        <v>0</v>
      </c>
      <c r="I13" s="70">
        <f t="shared" si="2"/>
        <v>2690</v>
      </c>
      <c r="J13" s="70">
        <f t="shared" si="3"/>
        <v>0</v>
      </c>
      <c r="K13" s="72">
        <f t="shared" si="4"/>
        <v>0</v>
      </c>
    </row>
    <row r="14" spans="1:12">
      <c r="A14" s="67" t="s">
        <v>85</v>
      </c>
      <c r="B14" s="67" t="s">
        <v>128</v>
      </c>
      <c r="C14" s="70">
        <f>'Seguimiento Cauca'!C54</f>
        <v>1345</v>
      </c>
      <c r="D14" s="70">
        <f>'Seguimiento Cauca'!D54</f>
        <v>0</v>
      </c>
      <c r="E14" s="72">
        <f t="shared" si="0"/>
        <v>0</v>
      </c>
      <c r="F14" s="70">
        <v>0</v>
      </c>
      <c r="G14" s="70">
        <v>0</v>
      </c>
      <c r="H14" s="72">
        <f t="shared" si="1"/>
        <v>0</v>
      </c>
      <c r="I14" s="70">
        <f t="shared" si="2"/>
        <v>1345</v>
      </c>
      <c r="J14" s="70">
        <f t="shared" si="3"/>
        <v>0</v>
      </c>
      <c r="K14" s="72">
        <f t="shared" si="4"/>
        <v>0</v>
      </c>
    </row>
    <row r="15" spans="1:12">
      <c r="A15" s="67" t="s">
        <v>85</v>
      </c>
      <c r="B15" s="67" t="s">
        <v>89</v>
      </c>
      <c r="C15" s="70">
        <f>'Seguimiento Cauca'!C55</f>
        <v>140</v>
      </c>
      <c r="D15" s="70">
        <f>'Seguimiento Cauca'!D55</f>
        <v>0</v>
      </c>
      <c r="E15" s="72">
        <f t="shared" si="0"/>
        <v>0</v>
      </c>
      <c r="F15" s="70">
        <v>0</v>
      </c>
      <c r="G15" s="70">
        <v>0</v>
      </c>
      <c r="H15" s="72">
        <f t="shared" si="1"/>
        <v>0</v>
      </c>
      <c r="I15" s="70">
        <f t="shared" si="2"/>
        <v>140</v>
      </c>
      <c r="J15" s="70">
        <f t="shared" si="3"/>
        <v>0</v>
      </c>
      <c r="K15" s="72">
        <f t="shared" si="4"/>
        <v>0</v>
      </c>
    </row>
    <row r="16" spans="1:12">
      <c r="A16" s="67" t="s">
        <v>85</v>
      </c>
      <c r="B16" s="67" t="s">
        <v>90</v>
      </c>
      <c r="C16" s="70">
        <f>'Seguimiento Cauca'!C56</f>
        <v>576</v>
      </c>
      <c r="D16" s="70">
        <f>'Seguimiento Cauca'!D56</f>
        <v>0</v>
      </c>
      <c r="E16" s="72">
        <f t="shared" si="0"/>
        <v>0</v>
      </c>
      <c r="F16" s="70">
        <v>0</v>
      </c>
      <c r="G16" s="70">
        <v>0</v>
      </c>
      <c r="H16" s="72">
        <f t="shared" si="1"/>
        <v>0</v>
      </c>
      <c r="I16" s="70">
        <f t="shared" si="2"/>
        <v>576</v>
      </c>
      <c r="J16" s="70">
        <f t="shared" si="3"/>
        <v>0</v>
      </c>
      <c r="K16" s="72">
        <f t="shared" si="4"/>
        <v>0</v>
      </c>
    </row>
    <row r="17" spans="1:23">
      <c r="A17" s="67" t="s">
        <v>91</v>
      </c>
      <c r="B17" s="67" t="s">
        <v>129</v>
      </c>
      <c r="C17" s="70">
        <f>'Seguimiento Cauca'!C57</f>
        <v>576</v>
      </c>
      <c r="D17" s="70">
        <f>'Seguimiento Cauca'!D57</f>
        <v>0</v>
      </c>
      <c r="E17" s="72">
        <f t="shared" si="0"/>
        <v>0</v>
      </c>
      <c r="F17" s="70">
        <v>0</v>
      </c>
      <c r="G17" s="70">
        <v>0</v>
      </c>
      <c r="H17" s="72">
        <f t="shared" si="1"/>
        <v>0</v>
      </c>
      <c r="I17" s="70">
        <f t="shared" si="2"/>
        <v>576</v>
      </c>
      <c r="J17" s="70">
        <f t="shared" si="3"/>
        <v>0</v>
      </c>
      <c r="K17" s="72">
        <f t="shared" si="4"/>
        <v>0</v>
      </c>
    </row>
    <row r="18" spans="1:23" ht="25.5" customHeight="1">
      <c r="A18" s="67" t="s">
        <v>91</v>
      </c>
      <c r="B18" s="67" t="s">
        <v>130</v>
      </c>
      <c r="C18" s="70">
        <f>'Seguimiento Cauca'!C58</f>
        <v>1728</v>
      </c>
      <c r="D18" s="70">
        <f>'Seguimiento Cauca'!D58</f>
        <v>0</v>
      </c>
      <c r="E18" s="72">
        <f t="shared" si="0"/>
        <v>0</v>
      </c>
      <c r="F18" s="70">
        <v>0</v>
      </c>
      <c r="G18" s="70">
        <v>0</v>
      </c>
      <c r="H18" s="72">
        <f t="shared" si="1"/>
        <v>0</v>
      </c>
      <c r="I18" s="70">
        <f t="shared" si="2"/>
        <v>1728</v>
      </c>
      <c r="J18" s="70">
        <f t="shared" si="3"/>
        <v>0</v>
      </c>
      <c r="K18" s="72">
        <f t="shared" si="4"/>
        <v>0</v>
      </c>
    </row>
    <row r="21" spans="1:23" ht="18">
      <c r="A21" s="176" t="s">
        <v>131</v>
      </c>
      <c r="B21" s="176"/>
      <c r="C21" s="176"/>
      <c r="D21" s="176"/>
      <c r="E21" s="176"/>
      <c r="F21" s="176"/>
      <c r="G21" s="176"/>
      <c r="H21" s="176"/>
      <c r="I21" s="176"/>
      <c r="J21" s="176"/>
      <c r="K21" s="176"/>
      <c r="L21" s="176"/>
    </row>
    <row r="23" spans="1:23" ht="25.5">
      <c r="A23" s="1" t="s">
        <v>56</v>
      </c>
      <c r="B23" s="1" t="s">
        <v>57</v>
      </c>
      <c r="C23" s="1" t="s">
        <v>132</v>
      </c>
      <c r="D23" s="1" t="s">
        <v>133</v>
      </c>
      <c r="E23" s="1" t="s">
        <v>100</v>
      </c>
      <c r="F23" s="1" t="s">
        <v>134</v>
      </c>
      <c r="G23" s="1" t="s">
        <v>135</v>
      </c>
      <c r="H23" s="1" t="s">
        <v>100</v>
      </c>
      <c r="I23" s="1" t="s">
        <v>136</v>
      </c>
      <c r="J23" s="1" t="s">
        <v>137</v>
      </c>
      <c r="K23" s="1" t="s">
        <v>100</v>
      </c>
      <c r="L23" s="1" t="s">
        <v>138</v>
      </c>
      <c r="M23" s="1" t="s">
        <v>139</v>
      </c>
      <c r="N23" s="1" t="s">
        <v>100</v>
      </c>
      <c r="O23" s="1" t="s">
        <v>140</v>
      </c>
      <c r="P23" s="1" t="s">
        <v>141</v>
      </c>
      <c r="Q23" s="1" t="s">
        <v>100</v>
      </c>
      <c r="R23" s="1" t="s">
        <v>142</v>
      </c>
      <c r="S23" s="1" t="s">
        <v>143</v>
      </c>
      <c r="T23" s="1" t="s">
        <v>100</v>
      </c>
      <c r="U23" s="1" t="s">
        <v>144</v>
      </c>
      <c r="V23" s="1" t="s">
        <v>145</v>
      </c>
      <c r="W23" s="1" t="s">
        <v>100</v>
      </c>
    </row>
    <row r="24" spans="1:23">
      <c r="A24" s="67" t="s">
        <v>76</v>
      </c>
      <c r="B24" s="67" t="s">
        <v>123</v>
      </c>
      <c r="C24" s="70">
        <f>'Detalle metas'!D21</f>
        <v>0</v>
      </c>
      <c r="D24" s="70">
        <f>'Seguimiento Cauca'!G44+'Seguimiento NdS'!G78</f>
        <v>0</v>
      </c>
      <c r="E24" s="72">
        <f t="shared" ref="E24:E38" si="10">IFERROR(D24/C24,0)</f>
        <v>0</v>
      </c>
      <c r="F24" s="70">
        <f>'Detalle metas'!E21</f>
        <v>160</v>
      </c>
      <c r="G24" s="70">
        <f>'Seguimiento Cauca'!J44+'Seguimiento NdS'!J78</f>
        <v>0</v>
      </c>
      <c r="H24" s="72">
        <f t="shared" ref="H24:H38" si="11">IFERROR(G24/F24,0)</f>
        <v>0</v>
      </c>
      <c r="I24" s="70">
        <f>'Detalle metas'!F21</f>
        <v>360</v>
      </c>
      <c r="J24" s="70">
        <f>'Seguimiento Cauca'!M44+'Seguimiento NdS'!M78</f>
        <v>0</v>
      </c>
      <c r="K24" s="72">
        <f t="shared" ref="K24:K38" si="12">IFERROR(J24/I24,0)</f>
        <v>0</v>
      </c>
      <c r="L24" s="70">
        <f>'Detalle metas'!G21</f>
        <v>360</v>
      </c>
      <c r="M24" s="70">
        <f>'Seguimiento Cauca'!P44+'Seguimiento NdS'!P78</f>
        <v>0</v>
      </c>
      <c r="N24" s="72">
        <f t="shared" ref="N24:N38" si="13">IFERROR(M24/L24,0)</f>
        <v>0</v>
      </c>
      <c r="O24" s="70">
        <f>'Detalle metas'!H21</f>
        <v>360</v>
      </c>
      <c r="P24" s="70">
        <f>'Seguimiento Cauca'!S44+'Seguimiento NdS'!S78</f>
        <v>0</v>
      </c>
      <c r="Q24" s="72">
        <f t="shared" ref="Q24:Q38" si="14">IFERROR(P24/O24,0)</f>
        <v>0</v>
      </c>
      <c r="R24" s="70">
        <f>'Detalle metas'!I21</f>
        <v>360</v>
      </c>
      <c r="S24" s="70">
        <f>'Seguimiento Cauca'!V44+'Seguimiento NdS'!V78</f>
        <v>0</v>
      </c>
      <c r="T24" s="72">
        <f t="shared" ref="T24:T38" si="15">IFERROR(S24/R24,0)</f>
        <v>0</v>
      </c>
      <c r="U24" s="70">
        <f>'Detalle metas'!J21</f>
        <v>0</v>
      </c>
      <c r="V24" s="70">
        <f>'Seguimiento Cauca'!Y44+'Seguimiento NdS'!Y78</f>
        <v>0</v>
      </c>
      <c r="W24" s="72">
        <f t="shared" ref="W24:W38" si="16">IFERROR(V24/U24,0)</f>
        <v>0</v>
      </c>
    </row>
    <row r="25" spans="1:23">
      <c r="A25" s="67" t="s">
        <v>76</v>
      </c>
      <c r="B25" s="67" t="s">
        <v>124</v>
      </c>
      <c r="C25" s="70">
        <f>'Detalle metas'!D22</f>
        <v>0</v>
      </c>
      <c r="D25" s="70">
        <f>'Seguimiento Cauca'!G45+'Seguimiento NdS'!G79</f>
        <v>0</v>
      </c>
      <c r="E25" s="72">
        <f t="shared" si="10"/>
        <v>0</v>
      </c>
      <c r="F25" s="70">
        <f>'Detalle metas'!E22</f>
        <v>640</v>
      </c>
      <c r="G25" s="70">
        <f>'Seguimiento Cauca'!J45+'Seguimiento NdS'!J79</f>
        <v>0</v>
      </c>
      <c r="H25" s="72">
        <f t="shared" si="11"/>
        <v>0</v>
      </c>
      <c r="I25" s="70">
        <f>'Detalle metas'!F22</f>
        <v>1440</v>
      </c>
      <c r="J25" s="70">
        <f>'Seguimiento Cauca'!M45+'Seguimiento NdS'!M79</f>
        <v>0</v>
      </c>
      <c r="K25" s="72">
        <f t="shared" si="12"/>
        <v>0</v>
      </c>
      <c r="L25" s="70">
        <f>'Detalle metas'!G22</f>
        <v>1440</v>
      </c>
      <c r="M25" s="70">
        <f>'Seguimiento Cauca'!P45+'Seguimiento NdS'!P79</f>
        <v>0</v>
      </c>
      <c r="N25" s="72">
        <f t="shared" si="13"/>
        <v>0</v>
      </c>
      <c r="O25" s="70">
        <f>'Detalle metas'!H22</f>
        <v>1440</v>
      </c>
      <c r="P25" s="70">
        <f>'Seguimiento Cauca'!S45+'Seguimiento NdS'!S79</f>
        <v>0</v>
      </c>
      <c r="Q25" s="72">
        <f t="shared" si="14"/>
        <v>0</v>
      </c>
      <c r="R25" s="70">
        <f>'Detalle metas'!I22</f>
        <v>1440</v>
      </c>
      <c r="S25" s="70">
        <f>'Seguimiento Cauca'!V45+'Seguimiento NdS'!V79</f>
        <v>0</v>
      </c>
      <c r="T25" s="72">
        <f t="shared" si="15"/>
        <v>0</v>
      </c>
      <c r="U25" s="70">
        <f>'Detalle metas'!J22</f>
        <v>0</v>
      </c>
      <c r="V25" s="70">
        <f>'Seguimiento Cauca'!Y45+'Seguimiento NdS'!Y79</f>
        <v>0</v>
      </c>
      <c r="W25" s="72">
        <f t="shared" si="16"/>
        <v>0</v>
      </c>
    </row>
    <row r="26" spans="1:23">
      <c r="A26" s="67" t="s">
        <v>76</v>
      </c>
      <c r="B26" s="67" t="s">
        <v>79</v>
      </c>
      <c r="C26" s="70">
        <f>'Detalle metas'!D23</f>
        <v>0</v>
      </c>
      <c r="D26" s="70">
        <f>'Seguimiento Cauca'!G46+'Seguimiento NdS'!G80</f>
        <v>0</v>
      </c>
      <c r="E26" s="72">
        <f t="shared" si="10"/>
        <v>0</v>
      </c>
      <c r="F26" s="70">
        <f>'Detalle metas'!E23</f>
        <v>192</v>
      </c>
      <c r="G26" s="70">
        <f>'Seguimiento Cauca'!J46+'Seguimiento NdS'!J80</f>
        <v>0</v>
      </c>
      <c r="H26" s="72">
        <f t="shared" si="11"/>
        <v>0</v>
      </c>
      <c r="I26" s="70">
        <f>'Detalle metas'!F23</f>
        <v>240</v>
      </c>
      <c r="J26" s="70">
        <f>'Seguimiento Cauca'!M46+'Seguimiento NdS'!M80</f>
        <v>0</v>
      </c>
      <c r="K26" s="72">
        <f t="shared" si="12"/>
        <v>0</v>
      </c>
      <c r="L26" s="70">
        <f>'Detalle metas'!G23</f>
        <v>240</v>
      </c>
      <c r="M26" s="70">
        <f>'Seguimiento Cauca'!P46+'Seguimiento NdS'!P80</f>
        <v>0</v>
      </c>
      <c r="N26" s="72">
        <f t="shared" si="13"/>
        <v>0</v>
      </c>
      <c r="O26" s="70">
        <f>'Detalle metas'!H23</f>
        <v>240</v>
      </c>
      <c r="P26" s="70">
        <f>'Seguimiento Cauca'!S46+'Seguimiento NdS'!S80</f>
        <v>0</v>
      </c>
      <c r="Q26" s="72">
        <f t="shared" si="14"/>
        <v>0</v>
      </c>
      <c r="R26" s="70">
        <f>'Detalle metas'!I23</f>
        <v>240</v>
      </c>
      <c r="S26" s="70">
        <f>'Seguimiento Cauca'!V46+'Seguimiento NdS'!V80</f>
        <v>0</v>
      </c>
      <c r="T26" s="72">
        <f t="shared" si="15"/>
        <v>0</v>
      </c>
      <c r="U26" s="70">
        <f>'Detalle metas'!J23</f>
        <v>0</v>
      </c>
      <c r="V26" s="70">
        <f>'Seguimiento Cauca'!Y46+'Seguimiento NdS'!Y80</f>
        <v>0</v>
      </c>
      <c r="W26" s="72">
        <f t="shared" si="16"/>
        <v>0</v>
      </c>
    </row>
    <row r="27" spans="1:23">
      <c r="A27" s="67" t="s">
        <v>76</v>
      </c>
      <c r="B27" s="67" t="s">
        <v>80</v>
      </c>
      <c r="C27" s="70">
        <f>'Detalle metas'!D24</f>
        <v>0</v>
      </c>
      <c r="D27" s="70">
        <f>'Seguimiento Cauca'!G47+'Seguimiento NdS'!G81</f>
        <v>0</v>
      </c>
      <c r="E27" s="72">
        <f t="shared" si="10"/>
        <v>0</v>
      </c>
      <c r="F27" s="70">
        <f>'Detalle metas'!E24</f>
        <v>48</v>
      </c>
      <c r="G27" s="70">
        <f>'Seguimiento Cauca'!J47+'Seguimiento NdS'!J81</f>
        <v>0</v>
      </c>
      <c r="H27" s="72">
        <f t="shared" si="11"/>
        <v>0</v>
      </c>
      <c r="I27" s="70">
        <f>'Detalle metas'!F24</f>
        <v>92</v>
      </c>
      <c r="J27" s="70">
        <f>'Seguimiento Cauca'!M47+'Seguimiento NdS'!M81</f>
        <v>0</v>
      </c>
      <c r="K27" s="72">
        <f t="shared" si="12"/>
        <v>0</v>
      </c>
      <c r="L27" s="70">
        <f>'Detalle metas'!G24</f>
        <v>92</v>
      </c>
      <c r="M27" s="70">
        <f>'Seguimiento Cauca'!P47+'Seguimiento NdS'!P81</f>
        <v>0</v>
      </c>
      <c r="N27" s="72">
        <f t="shared" si="13"/>
        <v>0</v>
      </c>
      <c r="O27" s="70">
        <f>'Detalle metas'!H24</f>
        <v>92</v>
      </c>
      <c r="P27" s="70">
        <f>'Seguimiento Cauca'!S47+'Seguimiento NdS'!S81</f>
        <v>0</v>
      </c>
      <c r="Q27" s="72">
        <f t="shared" si="14"/>
        <v>0</v>
      </c>
      <c r="R27" s="70">
        <f>'Detalle metas'!I24</f>
        <v>79</v>
      </c>
      <c r="S27" s="70">
        <f>'Seguimiento Cauca'!V47+'Seguimiento NdS'!V81</f>
        <v>0</v>
      </c>
      <c r="T27" s="72">
        <f t="shared" si="15"/>
        <v>0</v>
      </c>
      <c r="U27" s="70">
        <f>'Detalle metas'!J24</f>
        <v>0</v>
      </c>
      <c r="V27" s="70">
        <f>'Seguimiento Cauca'!Y47+'Seguimiento NdS'!Y81</f>
        <v>0</v>
      </c>
      <c r="W27" s="72">
        <f t="shared" si="16"/>
        <v>0</v>
      </c>
    </row>
    <row r="28" spans="1:23">
      <c r="A28" s="67" t="s">
        <v>76</v>
      </c>
      <c r="B28" s="67" t="s">
        <v>81</v>
      </c>
      <c r="C28" s="70">
        <f>'Detalle metas'!D25</f>
        <v>0</v>
      </c>
      <c r="D28" s="70">
        <f>'Seguimiento Cauca'!G48+'Seguimiento NdS'!G82</f>
        <v>0</v>
      </c>
      <c r="E28" s="72">
        <f t="shared" si="10"/>
        <v>0</v>
      </c>
      <c r="F28" s="70">
        <f>'Detalle metas'!E25</f>
        <v>240</v>
      </c>
      <c r="G28" s="70">
        <f>'Seguimiento Cauca'!J48+'Seguimiento NdS'!J82</f>
        <v>0</v>
      </c>
      <c r="H28" s="72">
        <f t="shared" si="11"/>
        <v>0</v>
      </c>
      <c r="I28" s="70">
        <f>'Detalle metas'!F25</f>
        <v>480</v>
      </c>
      <c r="J28" s="70">
        <f>'Seguimiento Cauca'!M48+'Seguimiento NdS'!M82</f>
        <v>0</v>
      </c>
      <c r="K28" s="72">
        <f t="shared" si="12"/>
        <v>0</v>
      </c>
      <c r="L28" s="70">
        <f>'Detalle metas'!G25</f>
        <v>600</v>
      </c>
      <c r="M28" s="70">
        <f>'Seguimiento Cauca'!P48+'Seguimiento NdS'!P82</f>
        <v>0</v>
      </c>
      <c r="N28" s="72">
        <f t="shared" si="13"/>
        <v>0</v>
      </c>
      <c r="O28" s="70">
        <f>'Detalle metas'!H25</f>
        <v>600</v>
      </c>
      <c r="P28" s="70">
        <f>'Seguimiento Cauca'!S48+'Seguimiento NdS'!S82</f>
        <v>0</v>
      </c>
      <c r="Q28" s="72">
        <f t="shared" si="14"/>
        <v>0</v>
      </c>
      <c r="R28" s="70">
        <f>'Detalle metas'!I25</f>
        <v>480</v>
      </c>
      <c r="S28" s="70">
        <f>'Seguimiento Cauca'!V48+'Seguimiento NdS'!V82</f>
        <v>0</v>
      </c>
      <c r="T28" s="72">
        <f t="shared" si="15"/>
        <v>0</v>
      </c>
      <c r="U28" s="70">
        <f>'Detalle metas'!J25</f>
        <v>0</v>
      </c>
      <c r="V28" s="70">
        <f>'Seguimiento Cauca'!Y48+'Seguimiento NdS'!Y82</f>
        <v>0</v>
      </c>
      <c r="W28" s="72">
        <f t="shared" si="16"/>
        <v>0</v>
      </c>
    </row>
    <row r="29" spans="1:23">
      <c r="A29" s="67" t="s">
        <v>76</v>
      </c>
      <c r="B29" s="67" t="s">
        <v>82</v>
      </c>
      <c r="C29" s="70">
        <f>'Detalle metas'!D26</f>
        <v>0</v>
      </c>
      <c r="D29" s="70">
        <f>'Seguimiento Cauca'!G49+'Seguimiento NdS'!G83</f>
        <v>0</v>
      </c>
      <c r="E29" s="72">
        <f t="shared" ref="E29" si="17">IFERROR(D29/C29,0)</f>
        <v>0</v>
      </c>
      <c r="F29" s="70">
        <f>'Detalle metas'!E26</f>
        <v>960</v>
      </c>
      <c r="G29" s="70">
        <f>'Seguimiento Cauca'!J49+'Seguimiento NdS'!J83</f>
        <v>0</v>
      </c>
      <c r="H29" s="72">
        <f t="shared" ref="H29" si="18">IFERROR(G29/F29,0)</f>
        <v>0</v>
      </c>
      <c r="I29" s="70">
        <f>'Detalle metas'!F26</f>
        <v>1920</v>
      </c>
      <c r="J29" s="70">
        <f>'Seguimiento Cauca'!M49+'Seguimiento NdS'!M83</f>
        <v>0</v>
      </c>
      <c r="K29" s="72">
        <f t="shared" ref="K29" si="19">IFERROR(J29/I29,0)</f>
        <v>0</v>
      </c>
      <c r="L29" s="70">
        <f>'Detalle metas'!G26</f>
        <v>2400</v>
      </c>
      <c r="M29" s="70">
        <f>'Seguimiento Cauca'!P49+'Seguimiento NdS'!P83</f>
        <v>0</v>
      </c>
      <c r="N29" s="72">
        <f t="shared" ref="N29" si="20">IFERROR(M29/L29,0)</f>
        <v>0</v>
      </c>
      <c r="O29" s="70">
        <f>'Detalle metas'!H26</f>
        <v>2400</v>
      </c>
      <c r="P29" s="70">
        <f>'Seguimiento Cauca'!S49+'Seguimiento NdS'!S83</f>
        <v>0</v>
      </c>
      <c r="Q29" s="72">
        <f t="shared" ref="Q29" si="21">IFERROR(P29/O29,0)</f>
        <v>0</v>
      </c>
      <c r="R29" s="70">
        <f>'Detalle metas'!I26</f>
        <v>1920</v>
      </c>
      <c r="S29" s="70">
        <f>'Seguimiento Cauca'!V49+'Seguimiento NdS'!V83</f>
        <v>0</v>
      </c>
      <c r="T29" s="72">
        <f t="shared" ref="T29" si="22">IFERROR(S29/R29,0)</f>
        <v>0</v>
      </c>
      <c r="U29" s="70">
        <f>'Detalle metas'!J26</f>
        <v>0</v>
      </c>
      <c r="V29" s="70">
        <f>'Seguimiento Cauca'!Y49+'Seguimiento NdS'!Y83</f>
        <v>0</v>
      </c>
      <c r="W29" s="72">
        <f t="shared" ref="W29" si="23">IFERROR(V29/U29,0)</f>
        <v>0</v>
      </c>
    </row>
    <row r="30" spans="1:23">
      <c r="A30" s="67" t="s">
        <v>76</v>
      </c>
      <c r="B30" s="67" t="s">
        <v>125</v>
      </c>
      <c r="C30" s="70">
        <f>'Detalle metas'!D27</f>
        <v>0</v>
      </c>
      <c r="D30" s="70">
        <f>'Seguimiento Cauca'!G50+'Seguimiento NdS'!G84</f>
        <v>0</v>
      </c>
      <c r="E30" s="72">
        <f t="shared" si="10"/>
        <v>0</v>
      </c>
      <c r="F30" s="70">
        <f>'Detalle metas'!E27</f>
        <v>0</v>
      </c>
      <c r="G30" s="70">
        <f>'Seguimiento Cauca'!J50+'Seguimiento NdS'!J84</f>
        <v>0</v>
      </c>
      <c r="H30" s="72">
        <f t="shared" si="11"/>
        <v>0</v>
      </c>
      <c r="I30" s="70">
        <f>'Detalle metas'!F27</f>
        <v>0</v>
      </c>
      <c r="J30" s="70">
        <f>'Seguimiento Cauca'!M50+'Seguimiento NdS'!M84</f>
        <v>0</v>
      </c>
      <c r="K30" s="72">
        <f t="shared" si="12"/>
        <v>0</v>
      </c>
      <c r="L30" s="70">
        <f>'Detalle metas'!G27</f>
        <v>8</v>
      </c>
      <c r="M30" s="70">
        <f>'Seguimiento Cauca'!P50+'Seguimiento NdS'!P84</f>
        <v>0</v>
      </c>
      <c r="N30" s="72">
        <f t="shared" si="13"/>
        <v>0</v>
      </c>
      <c r="O30" s="70">
        <f>'Detalle metas'!H27</f>
        <v>0</v>
      </c>
      <c r="P30" s="70">
        <f>'Seguimiento Cauca'!S50+'Seguimiento NdS'!S84</f>
        <v>0</v>
      </c>
      <c r="Q30" s="72">
        <f t="shared" si="14"/>
        <v>0</v>
      </c>
      <c r="R30" s="70">
        <f>'Detalle metas'!I27</f>
        <v>0</v>
      </c>
      <c r="S30" s="70">
        <f>'Seguimiento Cauca'!V50+'Seguimiento NdS'!V84</f>
        <v>0</v>
      </c>
      <c r="T30" s="72">
        <f t="shared" si="15"/>
        <v>0</v>
      </c>
      <c r="U30" s="70">
        <f>'Detalle metas'!J27</f>
        <v>0</v>
      </c>
      <c r="V30" s="70">
        <f>'Seguimiento Cauca'!Y50+'Seguimiento NdS'!Y84</f>
        <v>0</v>
      </c>
      <c r="W30" s="72">
        <f t="shared" si="16"/>
        <v>0</v>
      </c>
    </row>
    <row r="31" spans="1:23">
      <c r="A31" s="67" t="s">
        <v>76</v>
      </c>
      <c r="B31" s="67" t="s">
        <v>126</v>
      </c>
      <c r="C31" s="70">
        <f>'Detalle metas'!D28</f>
        <v>0</v>
      </c>
      <c r="D31" s="70">
        <f>'Seguimiento Cauca'!G51+'Seguimiento NdS'!G85</f>
        <v>0</v>
      </c>
      <c r="E31" s="72">
        <f t="shared" si="10"/>
        <v>0</v>
      </c>
      <c r="F31" s="70">
        <f>'Detalle metas'!E28</f>
        <v>0</v>
      </c>
      <c r="G31" s="70">
        <f>'Seguimiento Cauca'!J51+'Seguimiento NdS'!J85</f>
        <v>0</v>
      </c>
      <c r="H31" s="72">
        <f t="shared" si="11"/>
        <v>0</v>
      </c>
      <c r="I31" s="70">
        <f>'Detalle metas'!F28</f>
        <v>0</v>
      </c>
      <c r="J31" s="70">
        <f>'Seguimiento Cauca'!M51+'Seguimiento NdS'!M85</f>
        <v>0</v>
      </c>
      <c r="K31" s="72">
        <f t="shared" si="12"/>
        <v>0</v>
      </c>
      <c r="L31" s="70">
        <f>'Detalle metas'!G28</f>
        <v>1080</v>
      </c>
      <c r="M31" s="70">
        <f>'Seguimiento Cauca'!P51+'Seguimiento NdS'!P85</f>
        <v>0</v>
      </c>
      <c r="N31" s="72">
        <f t="shared" si="13"/>
        <v>0</v>
      </c>
      <c r="O31" s="70">
        <f>'Detalle metas'!H28</f>
        <v>2160</v>
      </c>
      <c r="P31" s="70">
        <f>'Seguimiento Cauca'!S51+'Seguimiento NdS'!S85</f>
        <v>0</v>
      </c>
      <c r="Q31" s="72">
        <f t="shared" si="14"/>
        <v>0</v>
      </c>
      <c r="R31" s="70">
        <f>'Detalle metas'!I28</f>
        <v>2160</v>
      </c>
      <c r="S31" s="70">
        <f>'Seguimiento Cauca'!V51+'Seguimiento NdS'!V85</f>
        <v>0</v>
      </c>
      <c r="T31" s="72">
        <f t="shared" si="15"/>
        <v>0</v>
      </c>
      <c r="U31" s="70">
        <f>'Detalle metas'!J28</f>
        <v>0</v>
      </c>
      <c r="V31" s="70">
        <f>'Seguimiento Cauca'!Y51+'Seguimiento NdS'!Y85</f>
        <v>0</v>
      </c>
      <c r="W31" s="72">
        <f t="shared" si="16"/>
        <v>0</v>
      </c>
    </row>
    <row r="32" spans="1:23">
      <c r="A32" s="67" t="s">
        <v>85</v>
      </c>
      <c r="B32" s="67" t="s">
        <v>86</v>
      </c>
      <c r="C32" s="70">
        <f>'Detalle metas'!D29</f>
        <v>0</v>
      </c>
      <c r="D32" s="70">
        <f>'Seguimiento Cauca'!G52+'Seguimiento NdS'!G86</f>
        <v>0</v>
      </c>
      <c r="E32" s="72">
        <f t="shared" si="10"/>
        <v>0</v>
      </c>
      <c r="F32" s="70">
        <f>'Detalle metas'!E29</f>
        <v>184</v>
      </c>
      <c r="G32" s="70">
        <f>'Seguimiento Cauca'!J52+'Seguimiento NdS'!J86</f>
        <v>0</v>
      </c>
      <c r="H32" s="72">
        <f t="shared" si="11"/>
        <v>0</v>
      </c>
      <c r="I32" s="70">
        <f>'Detalle metas'!F29</f>
        <v>322</v>
      </c>
      <c r="J32" s="70">
        <f>'Seguimiento Cauca'!M52+'Seguimiento NdS'!M86</f>
        <v>0</v>
      </c>
      <c r="K32" s="72">
        <f t="shared" si="12"/>
        <v>0</v>
      </c>
      <c r="L32" s="70">
        <f>'Detalle metas'!G29</f>
        <v>322</v>
      </c>
      <c r="M32" s="70">
        <f>'Seguimiento Cauca'!P52+'Seguimiento NdS'!P86</f>
        <v>0</v>
      </c>
      <c r="N32" s="72">
        <f t="shared" si="13"/>
        <v>0</v>
      </c>
      <c r="O32" s="70">
        <f>'Detalle metas'!H29</f>
        <v>322</v>
      </c>
      <c r="P32" s="70">
        <f>'Seguimiento Cauca'!S52+'Seguimiento NdS'!S86</f>
        <v>0</v>
      </c>
      <c r="Q32" s="72">
        <f t="shared" si="14"/>
        <v>0</v>
      </c>
      <c r="R32" s="70">
        <f>'Detalle metas'!I29</f>
        <v>250</v>
      </c>
      <c r="S32" s="70">
        <f>'Seguimiento Cauca'!V52+'Seguimiento NdS'!V86</f>
        <v>0</v>
      </c>
      <c r="T32" s="72">
        <f t="shared" si="15"/>
        <v>0</v>
      </c>
      <c r="U32" s="70">
        <f>'Detalle metas'!J29</f>
        <v>0</v>
      </c>
      <c r="V32" s="70">
        <f>'Seguimiento Cauca'!Y52+'Seguimiento NdS'!Y86</f>
        <v>0</v>
      </c>
      <c r="W32" s="72">
        <f t="shared" si="16"/>
        <v>0</v>
      </c>
    </row>
    <row r="33" spans="1:23">
      <c r="A33" s="67" t="s">
        <v>85</v>
      </c>
      <c r="B33" s="67" t="s">
        <v>127</v>
      </c>
      <c r="C33" s="70">
        <f>'Detalle metas'!D30</f>
        <v>0</v>
      </c>
      <c r="D33" s="70">
        <f>'Seguimiento Cauca'!G53+'Seguimiento NdS'!G87</f>
        <v>0</v>
      </c>
      <c r="E33" s="72">
        <f t="shared" si="10"/>
        <v>0</v>
      </c>
      <c r="F33" s="70">
        <f>'Detalle metas'!E30</f>
        <v>288</v>
      </c>
      <c r="G33" s="70">
        <f>'Seguimiento Cauca'!J53+'Seguimiento NdS'!J87</f>
        <v>0</v>
      </c>
      <c r="H33" s="72">
        <f t="shared" si="11"/>
        <v>0</v>
      </c>
      <c r="I33" s="70">
        <f>'Detalle metas'!F30</f>
        <v>600</v>
      </c>
      <c r="J33" s="70">
        <f>'Seguimiento Cauca'!M53+'Seguimiento NdS'!M87</f>
        <v>0</v>
      </c>
      <c r="K33" s="72">
        <f t="shared" si="12"/>
        <v>0</v>
      </c>
      <c r="L33" s="70">
        <f>'Detalle metas'!G30</f>
        <v>600</v>
      </c>
      <c r="M33" s="70">
        <f>'Seguimiento Cauca'!P53+'Seguimiento NdS'!P87</f>
        <v>0</v>
      </c>
      <c r="N33" s="72">
        <f t="shared" si="13"/>
        <v>0</v>
      </c>
      <c r="O33" s="70">
        <f>'Detalle metas'!H30</f>
        <v>600</v>
      </c>
      <c r="P33" s="70">
        <f>'Seguimiento Cauca'!S53+'Seguimiento NdS'!S87</f>
        <v>0</v>
      </c>
      <c r="Q33" s="72">
        <f t="shared" si="14"/>
        <v>0</v>
      </c>
      <c r="R33" s="70">
        <f>'Detalle metas'!I30</f>
        <v>602</v>
      </c>
      <c r="S33" s="70">
        <f>'Seguimiento Cauca'!V53+'Seguimiento NdS'!V87</f>
        <v>0</v>
      </c>
      <c r="T33" s="72">
        <f t="shared" si="15"/>
        <v>0</v>
      </c>
      <c r="U33" s="70">
        <f>'Detalle metas'!J30</f>
        <v>0</v>
      </c>
      <c r="V33" s="70">
        <f>'Seguimiento Cauca'!Y53+'Seguimiento NdS'!Y87</f>
        <v>0</v>
      </c>
      <c r="W33" s="72">
        <f t="shared" si="16"/>
        <v>0</v>
      </c>
    </row>
    <row r="34" spans="1:23">
      <c r="A34" s="67" t="s">
        <v>85</v>
      </c>
      <c r="B34" s="67" t="s">
        <v>128</v>
      </c>
      <c r="C34" s="70">
        <f>'Detalle metas'!D31</f>
        <v>0</v>
      </c>
      <c r="D34" s="70">
        <f>'Seguimiento Cauca'!G54+'Seguimiento NdS'!G88</f>
        <v>0</v>
      </c>
      <c r="E34" s="72">
        <f t="shared" si="10"/>
        <v>0</v>
      </c>
      <c r="F34" s="70">
        <f>'Detalle metas'!E31</f>
        <v>144</v>
      </c>
      <c r="G34" s="70">
        <f>'Seguimiento Cauca'!J54+'Seguimiento NdS'!J88</f>
        <v>0</v>
      </c>
      <c r="H34" s="72">
        <f t="shared" si="11"/>
        <v>0</v>
      </c>
      <c r="I34" s="70">
        <f>'Detalle metas'!F31</f>
        <v>300</v>
      </c>
      <c r="J34" s="70">
        <f>'Seguimiento Cauca'!M54+'Seguimiento NdS'!M88</f>
        <v>0</v>
      </c>
      <c r="K34" s="72">
        <f t="shared" si="12"/>
        <v>0</v>
      </c>
      <c r="L34" s="70">
        <f>'Detalle metas'!G31</f>
        <v>300</v>
      </c>
      <c r="M34" s="70">
        <f>'Seguimiento Cauca'!P54+'Seguimiento NdS'!P88</f>
        <v>0</v>
      </c>
      <c r="N34" s="72">
        <f t="shared" si="13"/>
        <v>0</v>
      </c>
      <c r="O34" s="70">
        <f>'Detalle metas'!H31</f>
        <v>300</v>
      </c>
      <c r="P34" s="70">
        <f>'Seguimiento Cauca'!S54+'Seguimiento NdS'!S88</f>
        <v>0</v>
      </c>
      <c r="Q34" s="72">
        <f t="shared" si="14"/>
        <v>0</v>
      </c>
      <c r="R34" s="70">
        <f>'Detalle metas'!I31</f>
        <v>301</v>
      </c>
      <c r="S34" s="70">
        <f>'Seguimiento Cauca'!V54+'Seguimiento NdS'!V88</f>
        <v>0</v>
      </c>
      <c r="T34" s="72">
        <f t="shared" si="15"/>
        <v>0</v>
      </c>
      <c r="U34" s="70">
        <f>'Detalle metas'!J31</f>
        <v>0</v>
      </c>
      <c r="V34" s="70">
        <f>'Seguimiento Cauca'!Y54+'Seguimiento NdS'!Y88</f>
        <v>0</v>
      </c>
      <c r="W34" s="72">
        <f t="shared" si="16"/>
        <v>0</v>
      </c>
    </row>
    <row r="35" spans="1:23">
      <c r="A35" s="67" t="s">
        <v>85</v>
      </c>
      <c r="B35" s="67" t="s">
        <v>89</v>
      </c>
      <c r="C35" s="70">
        <f>'Detalle metas'!D32</f>
        <v>0</v>
      </c>
      <c r="D35" s="70">
        <f>'Seguimiento Cauca'!G55+'Seguimiento NdS'!G89</f>
        <v>0</v>
      </c>
      <c r="E35" s="72">
        <f t="shared" si="10"/>
        <v>0</v>
      </c>
      <c r="F35" s="70">
        <f>'Detalle metas'!E32</f>
        <v>14</v>
      </c>
      <c r="G35" s="70">
        <f>'Seguimiento Cauca'!J55+'Seguimiento NdS'!J89</f>
        <v>0</v>
      </c>
      <c r="H35" s="72">
        <f t="shared" si="11"/>
        <v>0</v>
      </c>
      <c r="I35" s="70">
        <f>'Detalle metas'!F32</f>
        <v>32</v>
      </c>
      <c r="J35" s="70">
        <f>'Seguimiento Cauca'!M55+'Seguimiento NdS'!M89</f>
        <v>0</v>
      </c>
      <c r="K35" s="72">
        <f t="shared" si="12"/>
        <v>0</v>
      </c>
      <c r="L35" s="70">
        <f>'Detalle metas'!G32</f>
        <v>32</v>
      </c>
      <c r="M35" s="70">
        <f>'Seguimiento Cauca'!P55+'Seguimiento NdS'!P89</f>
        <v>0</v>
      </c>
      <c r="N35" s="72">
        <f t="shared" si="13"/>
        <v>0</v>
      </c>
      <c r="O35" s="70">
        <f>'Detalle metas'!H32</f>
        <v>32</v>
      </c>
      <c r="P35" s="70">
        <f>'Seguimiento Cauca'!S55+'Seguimiento NdS'!S89</f>
        <v>0</v>
      </c>
      <c r="Q35" s="72">
        <f t="shared" si="14"/>
        <v>0</v>
      </c>
      <c r="R35" s="70">
        <f>'Detalle metas'!I32</f>
        <v>30</v>
      </c>
      <c r="S35" s="70">
        <f>'Seguimiento Cauca'!V55+'Seguimiento NdS'!V89</f>
        <v>0</v>
      </c>
      <c r="T35" s="72">
        <f t="shared" si="15"/>
        <v>0</v>
      </c>
      <c r="U35" s="70">
        <f>'Detalle metas'!J32</f>
        <v>0</v>
      </c>
      <c r="V35" s="70">
        <f>'Seguimiento Cauca'!Y55+'Seguimiento NdS'!Y89</f>
        <v>0</v>
      </c>
      <c r="W35" s="72">
        <f t="shared" si="16"/>
        <v>0</v>
      </c>
    </row>
    <row r="36" spans="1:23">
      <c r="A36" s="67" t="s">
        <v>85</v>
      </c>
      <c r="B36" s="67" t="s">
        <v>90</v>
      </c>
      <c r="C36" s="70">
        <f>'Detalle metas'!D33</f>
        <v>0</v>
      </c>
      <c r="D36" s="70">
        <f>'Seguimiento Cauca'!G56+'Seguimiento NdS'!G90</f>
        <v>0</v>
      </c>
      <c r="E36" s="72">
        <f t="shared" si="10"/>
        <v>0</v>
      </c>
      <c r="F36" s="70">
        <f>'Detalle metas'!E33</f>
        <v>96</v>
      </c>
      <c r="G36" s="70">
        <f>'Seguimiento Cauca'!J56+'Seguimiento NdS'!J90</f>
        <v>0</v>
      </c>
      <c r="H36" s="72">
        <f t="shared" si="11"/>
        <v>0</v>
      </c>
      <c r="I36" s="70">
        <f>'Detalle metas'!F33</f>
        <v>120</v>
      </c>
      <c r="J36" s="70">
        <f>'Seguimiento Cauca'!M56+'Seguimiento NdS'!M90</f>
        <v>0</v>
      </c>
      <c r="K36" s="72">
        <f t="shared" si="12"/>
        <v>0</v>
      </c>
      <c r="L36" s="70">
        <f>'Detalle metas'!G33</f>
        <v>120</v>
      </c>
      <c r="M36" s="70">
        <f>'Seguimiento Cauca'!P56+'Seguimiento NdS'!P90</f>
        <v>0</v>
      </c>
      <c r="N36" s="72">
        <f t="shared" si="13"/>
        <v>0</v>
      </c>
      <c r="O36" s="70">
        <f>'Detalle metas'!H33</f>
        <v>120</v>
      </c>
      <c r="P36" s="70">
        <f>'Seguimiento Cauca'!S56+'Seguimiento NdS'!S90</f>
        <v>0</v>
      </c>
      <c r="Q36" s="72">
        <f t="shared" si="14"/>
        <v>0</v>
      </c>
      <c r="R36" s="70">
        <f>'Detalle metas'!I33</f>
        <v>120</v>
      </c>
      <c r="S36" s="70">
        <f>'Seguimiento Cauca'!V56+'Seguimiento NdS'!V90</f>
        <v>0</v>
      </c>
      <c r="T36" s="72">
        <f t="shared" si="15"/>
        <v>0</v>
      </c>
      <c r="U36" s="70">
        <f>'Detalle metas'!J33</f>
        <v>0</v>
      </c>
      <c r="V36" s="70">
        <f>'Seguimiento Cauca'!Y56+'Seguimiento NdS'!Y90</f>
        <v>0</v>
      </c>
      <c r="W36" s="72">
        <f t="shared" si="16"/>
        <v>0</v>
      </c>
    </row>
    <row r="37" spans="1:23">
      <c r="A37" s="67" t="s">
        <v>91</v>
      </c>
      <c r="B37" s="67" t="s">
        <v>129</v>
      </c>
      <c r="C37" s="70">
        <f>'Detalle metas'!D34</f>
        <v>0</v>
      </c>
      <c r="D37" s="70">
        <f>'Seguimiento Cauca'!G57+'Seguimiento NdS'!G91</f>
        <v>0</v>
      </c>
      <c r="E37" s="72">
        <f t="shared" si="10"/>
        <v>0</v>
      </c>
      <c r="F37" s="70">
        <f>'Detalle metas'!E34</f>
        <v>60</v>
      </c>
      <c r="G37" s="70">
        <f>'Seguimiento Cauca'!J57+'Seguimiento NdS'!J91</f>
        <v>0</v>
      </c>
      <c r="H37" s="72">
        <f t="shared" si="11"/>
        <v>0</v>
      </c>
      <c r="I37" s="70">
        <f>'Detalle metas'!F34</f>
        <v>128</v>
      </c>
      <c r="J37" s="70">
        <f>'Seguimiento Cauca'!M57+'Seguimiento NdS'!M91</f>
        <v>0</v>
      </c>
      <c r="K37" s="72">
        <f t="shared" si="12"/>
        <v>0</v>
      </c>
      <c r="L37" s="70">
        <f>'Detalle metas'!G34</f>
        <v>132</v>
      </c>
      <c r="M37" s="70">
        <f>'Seguimiento Cauca'!P57+'Seguimiento NdS'!P91</f>
        <v>0</v>
      </c>
      <c r="N37" s="72">
        <f t="shared" si="13"/>
        <v>0</v>
      </c>
      <c r="O37" s="70">
        <f>'Detalle metas'!H34</f>
        <v>128</v>
      </c>
      <c r="P37" s="70">
        <f>'Seguimiento Cauca'!S57+'Seguimiento NdS'!S91</f>
        <v>0</v>
      </c>
      <c r="Q37" s="72">
        <f t="shared" si="14"/>
        <v>0</v>
      </c>
      <c r="R37" s="70">
        <f>'Detalle metas'!I34</f>
        <v>128</v>
      </c>
      <c r="S37" s="70">
        <f>'Seguimiento Cauca'!V57+'Seguimiento NdS'!V91</f>
        <v>0</v>
      </c>
      <c r="T37" s="72">
        <f t="shared" si="15"/>
        <v>0</v>
      </c>
      <c r="U37" s="70">
        <f>'Detalle metas'!J34</f>
        <v>0</v>
      </c>
      <c r="V37" s="70">
        <f>'Seguimiento Cauca'!Y57+'Seguimiento NdS'!Y91</f>
        <v>0</v>
      </c>
      <c r="W37" s="72">
        <f t="shared" si="16"/>
        <v>0</v>
      </c>
    </row>
    <row r="38" spans="1:23">
      <c r="A38" s="67" t="s">
        <v>91</v>
      </c>
      <c r="B38" s="67" t="s">
        <v>130</v>
      </c>
      <c r="C38" s="70">
        <f>'Detalle metas'!D35</f>
        <v>0</v>
      </c>
      <c r="D38" s="70">
        <f>'Seguimiento Cauca'!G58+'Seguimiento NdS'!G92</f>
        <v>0</v>
      </c>
      <c r="E38" s="72">
        <f t="shared" si="10"/>
        <v>0</v>
      </c>
      <c r="F38" s="70">
        <f>'Detalle metas'!E35</f>
        <v>180</v>
      </c>
      <c r="G38" s="70">
        <f>'Seguimiento Cauca'!J58+'Seguimiento NdS'!J92</f>
        <v>0</v>
      </c>
      <c r="H38" s="72">
        <f t="shared" si="11"/>
        <v>0</v>
      </c>
      <c r="I38" s="70">
        <f>'Detalle metas'!F35</f>
        <v>384</v>
      </c>
      <c r="J38" s="70">
        <f>'Seguimiento Cauca'!M58+'Seguimiento NdS'!M92</f>
        <v>0</v>
      </c>
      <c r="K38" s="72">
        <f t="shared" si="12"/>
        <v>0</v>
      </c>
      <c r="L38" s="70">
        <f>'Detalle metas'!G35</f>
        <v>396</v>
      </c>
      <c r="M38" s="70">
        <f>'Seguimiento Cauca'!P58+'Seguimiento NdS'!P92</f>
        <v>0</v>
      </c>
      <c r="N38" s="72">
        <f t="shared" si="13"/>
        <v>0</v>
      </c>
      <c r="O38" s="70">
        <f>'Detalle metas'!H35</f>
        <v>384</v>
      </c>
      <c r="P38" s="70">
        <f>'Seguimiento Cauca'!S58+'Seguimiento NdS'!S92</f>
        <v>0</v>
      </c>
      <c r="Q38" s="72">
        <f t="shared" si="14"/>
        <v>0</v>
      </c>
      <c r="R38" s="70">
        <f>'Detalle metas'!I35</f>
        <v>384</v>
      </c>
      <c r="S38" s="70">
        <f>'Seguimiento Cauca'!V58+'Seguimiento NdS'!V92</f>
        <v>0</v>
      </c>
      <c r="T38" s="72">
        <f t="shared" si="15"/>
        <v>0</v>
      </c>
      <c r="U38" s="70">
        <f>'Detalle metas'!J35</f>
        <v>0</v>
      </c>
      <c r="V38" s="70">
        <f>'Seguimiento Cauca'!Y58+'Seguimiento NdS'!Y92</f>
        <v>0</v>
      </c>
      <c r="W38" s="72">
        <f t="shared" si="16"/>
        <v>0</v>
      </c>
    </row>
  </sheetData>
  <mergeCells count="2">
    <mergeCell ref="A1:L1"/>
    <mergeCell ref="A21:L21"/>
  </mergeCells>
  <conditionalFormatting sqref="E4:E18">
    <cfRule type="cellIs" dxfId="17" priority="11" operator="lessThan">
      <formula>0.5</formula>
    </cfRule>
    <cfRule type="cellIs" dxfId="16" priority="12" operator="between">
      <formula>0.5</formula>
      <formula>0.7999</formula>
    </cfRule>
    <cfRule type="cellIs" dxfId="15" priority="13" operator="greaterThanOrEqual">
      <formula>0.8</formula>
    </cfRule>
  </conditionalFormatting>
  <conditionalFormatting sqref="E24:E38">
    <cfRule type="cellIs" dxfId="14" priority="1" operator="lessThan">
      <formula>0.5</formula>
    </cfRule>
    <cfRule type="cellIs" dxfId="13" priority="2" operator="between">
      <formula>0.5</formula>
      <formula>0.7999</formula>
    </cfRule>
    <cfRule type="cellIs" dxfId="12" priority="3" operator="greaterThanOrEqual">
      <formula>0.8</formula>
    </cfRule>
  </conditionalFormatting>
  <conditionalFormatting sqref="H4:H18">
    <cfRule type="cellIs" dxfId="11" priority="14" operator="lessThan">
      <formula>0.5</formula>
    </cfRule>
    <cfRule type="cellIs" dxfId="10" priority="15" operator="between">
      <formula>0.5</formula>
      <formula>0.7999</formula>
    </cfRule>
    <cfRule type="cellIs" dxfId="9" priority="16" operator="greaterThanOrEqual">
      <formula>0.8</formula>
    </cfRule>
  </conditionalFormatting>
  <conditionalFormatting sqref="H24:H38">
    <cfRule type="cellIs" dxfId="8" priority="4" operator="lessThan">
      <formula>0.5</formula>
    </cfRule>
    <cfRule type="cellIs" dxfId="7" priority="5" operator="between">
      <formula>0.5</formula>
      <formula>0.7999</formula>
    </cfRule>
    <cfRule type="cellIs" dxfId="6" priority="6" operator="greaterThanOrEqual">
      <formula>0.8</formula>
    </cfRule>
  </conditionalFormatting>
  <conditionalFormatting sqref="K4:K18">
    <cfRule type="cellIs" dxfId="5" priority="17" operator="lessThan">
      <formula>0.5</formula>
    </cfRule>
    <cfRule type="cellIs" dxfId="4" priority="18" operator="between">
      <formula>0.5</formula>
      <formula>0.7999</formula>
    </cfRule>
    <cfRule type="cellIs" dxfId="3" priority="19" operator="greaterThanOrEqual">
      <formula>0.8</formula>
    </cfRule>
  </conditionalFormatting>
  <conditionalFormatting sqref="K24:K38 N24:N38 Q24:Q38 T24:T38 W24:W38">
    <cfRule type="cellIs" dxfId="2" priority="7" operator="lessThan">
      <formula>0.5</formula>
    </cfRule>
    <cfRule type="cellIs" dxfId="1" priority="8" operator="between">
      <formula>0.5</formula>
      <formula>0.7999</formula>
    </cfRule>
    <cfRule type="cellIs" dxfId="0" priority="9" operator="greaterThanOrEqual">
      <formula>0.8</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006F-44A1-46D5-B987-94D0785989D7}">
  <sheetPr>
    <tabColor rgb="FF00B0F0"/>
  </sheetPr>
  <dimension ref="A1:AE20"/>
  <sheetViews>
    <sheetView zoomScaleNormal="100" workbookViewId="0">
      <pane xSplit="3" ySplit="2" topLeftCell="D3" activePane="bottomRight" state="frozen"/>
      <selection pane="bottomRight" activeCell="F4" sqref="F4"/>
      <selection pane="bottomLeft" activeCell="A3" sqref="A3"/>
      <selection pane="topRight" activeCell="D1" sqref="D1"/>
    </sheetView>
  </sheetViews>
  <sheetFormatPr defaultColWidth="11.42578125" defaultRowHeight="15"/>
  <cols>
    <col min="1" max="1" width="11.42578125" style="74"/>
    <col min="2" max="2" width="15.5703125" style="74" customWidth="1"/>
    <col min="3" max="3" width="86.28515625" style="74" customWidth="1"/>
    <col min="4" max="4" width="35.5703125" style="74" customWidth="1"/>
    <col min="5" max="5" width="14.28515625" style="74" customWidth="1"/>
    <col min="6" max="6" width="14.42578125" style="74" customWidth="1"/>
    <col min="7" max="7" width="17.140625" style="74" customWidth="1"/>
    <col min="8" max="8" width="19.140625" style="74" customWidth="1"/>
    <col min="9" max="9" width="14.5703125" style="74" customWidth="1"/>
    <col min="10" max="10" width="16.42578125" style="74" customWidth="1"/>
    <col min="11" max="12" width="15.28515625" style="74" customWidth="1"/>
    <col min="13" max="13" width="15.42578125" style="74" customWidth="1"/>
    <col min="14" max="15" width="13.42578125" style="74" customWidth="1"/>
    <col min="16" max="16" width="15.140625" style="74" customWidth="1"/>
    <col min="17" max="17" width="13.5703125" style="74" customWidth="1"/>
    <col min="18" max="16384" width="11.42578125" style="74"/>
  </cols>
  <sheetData>
    <row r="1" spans="1:31" ht="16.5" thickBot="1">
      <c r="I1" s="183" t="s">
        <v>61</v>
      </c>
      <c r="J1" s="181"/>
      <c r="K1" s="182"/>
      <c r="L1" s="183" t="s">
        <v>146</v>
      </c>
      <c r="M1" s="181"/>
      <c r="N1" s="182"/>
      <c r="O1" s="180" t="s">
        <v>147</v>
      </c>
      <c r="P1" s="181"/>
      <c r="Q1" s="182"/>
      <c r="R1" s="180" t="s">
        <v>148</v>
      </c>
      <c r="S1" s="181"/>
      <c r="T1" s="182"/>
      <c r="U1" s="180" t="s">
        <v>149</v>
      </c>
      <c r="V1" s="181"/>
      <c r="W1" s="182"/>
      <c r="X1" s="180" t="s">
        <v>150</v>
      </c>
      <c r="Y1" s="181"/>
      <c r="Z1" s="182"/>
      <c r="AA1" s="180" t="s">
        <v>151</v>
      </c>
      <c r="AB1" s="181"/>
      <c r="AC1" s="182"/>
    </row>
    <row r="2" spans="1:31" s="78" customFormat="1" ht="63.75" thickBot="1">
      <c r="A2" s="94" t="s">
        <v>56</v>
      </c>
      <c r="B2" s="95" t="s">
        <v>152</v>
      </c>
      <c r="C2" s="96" t="s">
        <v>153</v>
      </c>
      <c r="D2" s="114" t="s">
        <v>154</v>
      </c>
      <c r="E2" s="75" t="s">
        <v>155</v>
      </c>
      <c r="F2" s="76" t="s">
        <v>156</v>
      </c>
      <c r="G2" s="76" t="s">
        <v>157</v>
      </c>
      <c r="H2" s="77" t="s">
        <v>158</v>
      </c>
      <c r="I2" s="97" t="s">
        <v>159</v>
      </c>
      <c r="J2" s="76" t="s">
        <v>160</v>
      </c>
      <c r="K2" s="77" t="s">
        <v>161</v>
      </c>
      <c r="L2" s="75" t="s">
        <v>159</v>
      </c>
      <c r="M2" s="76" t="s">
        <v>160</v>
      </c>
      <c r="N2" s="77" t="s">
        <v>161</v>
      </c>
      <c r="O2" s="75" t="s">
        <v>159</v>
      </c>
      <c r="P2" s="76" t="s">
        <v>160</v>
      </c>
      <c r="Q2" s="77" t="s">
        <v>161</v>
      </c>
      <c r="R2" s="75" t="s">
        <v>159</v>
      </c>
      <c r="S2" s="76" t="s">
        <v>160</v>
      </c>
      <c r="T2" s="77" t="s">
        <v>161</v>
      </c>
      <c r="U2" s="75" t="s">
        <v>159</v>
      </c>
      <c r="V2" s="76" t="s">
        <v>160</v>
      </c>
      <c r="W2" s="77" t="s">
        <v>161</v>
      </c>
      <c r="X2" s="75" t="s">
        <v>159</v>
      </c>
      <c r="Y2" s="76" t="s">
        <v>160</v>
      </c>
      <c r="Z2" s="77" t="s">
        <v>161</v>
      </c>
      <c r="AA2" s="75" t="s">
        <v>159</v>
      </c>
      <c r="AB2" s="76" t="s">
        <v>160</v>
      </c>
      <c r="AC2" s="77" t="s">
        <v>161</v>
      </c>
    </row>
    <row r="3" spans="1:31" ht="15.75">
      <c r="A3" s="98" t="s">
        <v>162</v>
      </c>
      <c r="B3" s="79" t="s">
        <v>163</v>
      </c>
      <c r="C3" s="91" t="s">
        <v>164</v>
      </c>
      <c r="D3" s="103" t="s">
        <v>165</v>
      </c>
      <c r="E3" s="141">
        <f>'Marco Lógico'!D26</f>
        <v>2016</v>
      </c>
      <c r="F3" s="142">
        <f>'Detalle metas'!C15</f>
        <v>576</v>
      </c>
      <c r="G3" s="127"/>
      <c r="H3" s="128"/>
      <c r="I3" s="87">
        <v>0</v>
      </c>
      <c r="J3" s="87">
        <v>0</v>
      </c>
      <c r="K3" s="155">
        <v>0</v>
      </c>
      <c r="L3" s="107">
        <f>Consolidado!F37</f>
        <v>60</v>
      </c>
      <c r="M3" s="107">
        <f>Consolidado!G37</f>
        <v>0</v>
      </c>
      <c r="N3" s="149">
        <f>M3/L3</f>
        <v>0</v>
      </c>
      <c r="O3" s="107">
        <f>Consolidado!I37</f>
        <v>128</v>
      </c>
      <c r="P3" s="107">
        <f>Consolidado!J37</f>
        <v>0</v>
      </c>
      <c r="Q3" s="149">
        <f>P3/O3</f>
        <v>0</v>
      </c>
      <c r="R3" s="107">
        <f>Consolidado!L37</f>
        <v>132</v>
      </c>
      <c r="S3" s="107">
        <f>Consolidado!M37</f>
        <v>0</v>
      </c>
      <c r="T3" s="149">
        <f>S3/R3</f>
        <v>0</v>
      </c>
      <c r="U3" s="115">
        <f>Consolidado!O37</f>
        <v>128</v>
      </c>
      <c r="V3" s="115">
        <f>Consolidado!P37</f>
        <v>0</v>
      </c>
      <c r="W3" s="149">
        <f>V3/U3</f>
        <v>0</v>
      </c>
      <c r="X3" s="107">
        <f>Consolidado!R37</f>
        <v>128</v>
      </c>
      <c r="Y3" s="107">
        <f>Consolidado!S37</f>
        <v>0</v>
      </c>
      <c r="Z3" s="149">
        <f>Y3/X3</f>
        <v>0</v>
      </c>
      <c r="AA3" s="107">
        <f>Consolidado!U37</f>
        <v>0</v>
      </c>
      <c r="AB3" s="107">
        <f>Consolidado!V37</f>
        <v>0</v>
      </c>
      <c r="AC3" s="158" t="e">
        <f>AB3/AA3</f>
        <v>#DIV/0!</v>
      </c>
      <c r="AE3" s="122">
        <f>L3+O3+R3+U3+X3</f>
        <v>576</v>
      </c>
    </row>
    <row r="4" spans="1:31" ht="15.75">
      <c r="A4" s="98" t="s">
        <v>162</v>
      </c>
      <c r="B4" s="80" t="s">
        <v>166</v>
      </c>
      <c r="C4" s="93" t="s">
        <v>167</v>
      </c>
      <c r="D4" s="103" t="s">
        <v>165</v>
      </c>
      <c r="E4" s="132"/>
      <c r="F4" s="130"/>
      <c r="G4" s="130"/>
      <c r="H4" s="131"/>
      <c r="I4" s="87">
        <v>0</v>
      </c>
      <c r="J4" s="87">
        <v>0</v>
      </c>
      <c r="K4" s="155">
        <v>0</v>
      </c>
      <c r="L4" s="108"/>
      <c r="M4" s="109"/>
      <c r="N4" s="150"/>
      <c r="O4" s="108"/>
      <c r="P4" s="109"/>
      <c r="Q4" s="150"/>
      <c r="R4" s="108"/>
      <c r="S4" s="109"/>
      <c r="T4" s="150"/>
      <c r="U4" s="116"/>
      <c r="V4" s="117"/>
      <c r="W4" s="153"/>
      <c r="X4" s="108"/>
      <c r="Y4" s="109"/>
      <c r="Z4" s="153"/>
      <c r="AA4" s="108"/>
      <c r="AB4" s="109"/>
      <c r="AC4" s="159"/>
    </row>
    <row r="5" spans="1:31" ht="15.75">
      <c r="A5" s="98" t="s">
        <v>168</v>
      </c>
      <c r="B5" s="80" t="s">
        <v>169</v>
      </c>
      <c r="C5" s="91" t="s">
        <v>170</v>
      </c>
      <c r="D5" s="104" t="s">
        <v>171</v>
      </c>
      <c r="E5" s="129">
        <f>'Detalle metas'!C12</f>
        <v>1345</v>
      </c>
      <c r="F5" s="130"/>
      <c r="G5" s="130">
        <f>'Detalle metas'!C11</f>
        <v>2690</v>
      </c>
      <c r="H5" s="131"/>
      <c r="I5" s="87">
        <v>0</v>
      </c>
      <c r="J5" s="87">
        <v>0</v>
      </c>
      <c r="K5" s="155">
        <v>0</v>
      </c>
      <c r="L5" s="108">
        <f>Consolidado!F33</f>
        <v>288</v>
      </c>
      <c r="M5" s="108">
        <f>Consolidado!G33</f>
        <v>0</v>
      </c>
      <c r="N5" s="151">
        <f>M5/L5</f>
        <v>0</v>
      </c>
      <c r="O5" s="108">
        <f>Consolidado!I33</f>
        <v>600</v>
      </c>
      <c r="P5" s="108">
        <f>Consolidado!J33</f>
        <v>0</v>
      </c>
      <c r="Q5" s="151">
        <f>P5/O5</f>
        <v>0</v>
      </c>
      <c r="R5" s="108">
        <f>Consolidado!L33</f>
        <v>600</v>
      </c>
      <c r="S5" s="108">
        <f>Consolidado!M33</f>
        <v>0</v>
      </c>
      <c r="T5" s="151">
        <f>S5/R5</f>
        <v>0</v>
      </c>
      <c r="U5" s="116">
        <f>Consolidado!O33</f>
        <v>600</v>
      </c>
      <c r="V5" s="116">
        <f>Consolidado!P33</f>
        <v>0</v>
      </c>
      <c r="W5" s="151">
        <f>V5/U5</f>
        <v>0</v>
      </c>
      <c r="X5" s="108">
        <f>Consolidado!R33</f>
        <v>602</v>
      </c>
      <c r="Y5" s="108">
        <f>Consolidado!S33</f>
        <v>0</v>
      </c>
      <c r="Z5" s="151">
        <f>Y5/X5</f>
        <v>0</v>
      </c>
      <c r="AA5" s="108">
        <f>Consolidado!U33</f>
        <v>0</v>
      </c>
      <c r="AB5" s="108">
        <f>Consolidado!V33</f>
        <v>0</v>
      </c>
      <c r="AC5" s="160" t="e">
        <f>AB5/AA5</f>
        <v>#DIV/0!</v>
      </c>
      <c r="AE5" s="122">
        <f>L5+O5+R5+U5+X5</f>
        <v>2690</v>
      </c>
    </row>
    <row r="6" spans="1:31" ht="30">
      <c r="A6" s="98" t="s">
        <v>168</v>
      </c>
      <c r="B6" s="80" t="s">
        <v>172</v>
      </c>
      <c r="C6" s="91" t="s">
        <v>173</v>
      </c>
      <c r="D6" s="104" t="s">
        <v>90</v>
      </c>
      <c r="E6" s="132">
        <f>'Detalle metas'!C33</f>
        <v>576</v>
      </c>
      <c r="F6" s="130"/>
      <c r="G6" s="130"/>
      <c r="H6" s="131"/>
      <c r="I6" s="87">
        <v>0</v>
      </c>
      <c r="J6" s="87">
        <v>0</v>
      </c>
      <c r="K6" s="155">
        <v>0</v>
      </c>
      <c r="L6" s="126">
        <f>Consolidado!F36</f>
        <v>96</v>
      </c>
      <c r="M6" s="126">
        <f>Consolidado!G36</f>
        <v>0</v>
      </c>
      <c r="N6" s="151">
        <f>M6/L6</f>
        <v>0</v>
      </c>
      <c r="O6" s="108">
        <f>Consolidado!I36</f>
        <v>120</v>
      </c>
      <c r="P6" s="108">
        <f>Consolidado!J36</f>
        <v>0</v>
      </c>
      <c r="Q6" s="151">
        <f>P6/O6</f>
        <v>0</v>
      </c>
      <c r="R6" s="108">
        <f>Consolidado!L36</f>
        <v>120</v>
      </c>
      <c r="S6" s="108">
        <f>Consolidado!M36</f>
        <v>0</v>
      </c>
      <c r="T6" s="151">
        <f>S6/R6</f>
        <v>0</v>
      </c>
      <c r="U6" s="116">
        <f>Consolidado!O36</f>
        <v>120</v>
      </c>
      <c r="V6" s="116">
        <f>Consolidado!P36</f>
        <v>0</v>
      </c>
      <c r="W6" s="151">
        <f>V6/U6</f>
        <v>0</v>
      </c>
      <c r="X6" s="108">
        <f>Consolidado!R36</f>
        <v>120</v>
      </c>
      <c r="Y6" s="108">
        <f>Consolidado!S36</f>
        <v>0</v>
      </c>
      <c r="Z6" s="151">
        <f>Y6/X6</f>
        <v>0</v>
      </c>
      <c r="AA6" s="108">
        <f>Consolidado!U36</f>
        <v>0</v>
      </c>
      <c r="AB6" s="108">
        <f>Consolidado!V36</f>
        <v>0</v>
      </c>
      <c r="AC6" s="160" t="e">
        <f>AB6/AA6</f>
        <v>#DIV/0!</v>
      </c>
      <c r="AE6" s="122">
        <f>L6+O6+R6+U6+X6</f>
        <v>576</v>
      </c>
    </row>
    <row r="7" spans="1:31" ht="30">
      <c r="A7" s="99" t="s">
        <v>174</v>
      </c>
      <c r="B7" s="89" t="s">
        <v>175</v>
      </c>
      <c r="C7" s="92" t="s">
        <v>176</v>
      </c>
      <c r="D7" s="105"/>
      <c r="E7" s="133"/>
      <c r="F7" s="134"/>
      <c r="G7" s="134"/>
      <c r="H7" s="135"/>
      <c r="I7" s="90">
        <v>0</v>
      </c>
      <c r="J7" s="90">
        <v>0</v>
      </c>
      <c r="K7" s="156">
        <v>0</v>
      </c>
      <c r="L7" s="110"/>
      <c r="M7" s="111"/>
      <c r="N7" s="152"/>
      <c r="O7" s="110"/>
      <c r="P7" s="111"/>
      <c r="Q7" s="152"/>
      <c r="R7" s="110"/>
      <c r="S7" s="111"/>
      <c r="T7" s="152"/>
      <c r="U7" s="118"/>
      <c r="V7" s="119"/>
      <c r="W7" s="152"/>
      <c r="X7" s="110"/>
      <c r="Y7" s="111"/>
      <c r="Z7" s="152"/>
      <c r="AA7" s="110"/>
      <c r="AB7" s="111"/>
      <c r="AC7" s="161"/>
    </row>
    <row r="8" spans="1:31" ht="15.75">
      <c r="A8" s="99" t="s">
        <v>174</v>
      </c>
      <c r="B8" s="89" t="s">
        <v>177</v>
      </c>
      <c r="C8" s="92" t="s">
        <v>178</v>
      </c>
      <c r="D8" s="105"/>
      <c r="E8" s="136"/>
      <c r="F8" s="134"/>
      <c r="G8" s="134"/>
      <c r="H8" s="135"/>
      <c r="I8" s="90">
        <v>0</v>
      </c>
      <c r="J8" s="90">
        <v>0</v>
      </c>
      <c r="K8" s="156">
        <v>0</v>
      </c>
      <c r="L8" s="110"/>
      <c r="M8" s="111"/>
      <c r="N8" s="152"/>
      <c r="O8" s="110"/>
      <c r="P8" s="111"/>
      <c r="Q8" s="152"/>
      <c r="R8" s="110"/>
      <c r="S8" s="111"/>
      <c r="T8" s="152"/>
      <c r="U8" s="118"/>
      <c r="V8" s="119"/>
      <c r="W8" s="152"/>
      <c r="X8" s="110"/>
      <c r="Y8" s="111"/>
      <c r="Z8" s="152"/>
      <c r="AA8" s="110"/>
      <c r="AB8" s="111"/>
      <c r="AC8" s="161"/>
    </row>
    <row r="9" spans="1:31" ht="30">
      <c r="A9" s="98" t="s">
        <v>174</v>
      </c>
      <c r="B9" s="80" t="s">
        <v>179</v>
      </c>
      <c r="C9" s="91" t="s">
        <v>180</v>
      </c>
      <c r="D9" s="104" t="s">
        <v>181</v>
      </c>
      <c r="E9" s="129">
        <f>Consolidado!I6+Consolidado!I11</f>
        <v>6552</v>
      </c>
      <c r="F9" s="130"/>
      <c r="G9" s="130"/>
      <c r="H9" s="131"/>
      <c r="I9" s="87">
        <v>0</v>
      </c>
      <c r="J9" s="87">
        <v>0</v>
      </c>
      <c r="K9" s="155">
        <v>0</v>
      </c>
      <c r="L9" s="108">
        <f>Consolidado!F26+Consolidado!F31</f>
        <v>192</v>
      </c>
      <c r="M9" s="108">
        <f>Consolidado!G26+Consolidado!G31</f>
        <v>0</v>
      </c>
      <c r="N9" s="151">
        <f>M9/L9</f>
        <v>0</v>
      </c>
      <c r="O9" s="108">
        <f>Consolidado!I26+Consolidado!I31</f>
        <v>240</v>
      </c>
      <c r="P9" s="108">
        <f>Consolidado!J26+Consolidado!J31</f>
        <v>0</v>
      </c>
      <c r="Q9" s="151">
        <f>P9/O9</f>
        <v>0</v>
      </c>
      <c r="R9" s="108">
        <f>Consolidado!L26+Consolidado!L31</f>
        <v>1320</v>
      </c>
      <c r="S9" s="108">
        <f>Consolidado!M26+Consolidado!M31</f>
        <v>0</v>
      </c>
      <c r="T9" s="151">
        <f>S9/R9</f>
        <v>0</v>
      </c>
      <c r="U9" s="116">
        <f>Consolidado!O26+Consolidado!O31</f>
        <v>2400</v>
      </c>
      <c r="V9" s="116">
        <f>Consolidado!P26+Consolidado!P31</f>
        <v>0</v>
      </c>
      <c r="W9" s="151">
        <f>V9/U9</f>
        <v>0</v>
      </c>
      <c r="X9" s="108">
        <f>Consolidado!R26+Consolidado!R31</f>
        <v>2400</v>
      </c>
      <c r="Y9" s="108">
        <f>Consolidado!S26+Consolidado!S31</f>
        <v>0</v>
      </c>
      <c r="Z9" s="151">
        <f>Y9/X9</f>
        <v>0</v>
      </c>
      <c r="AA9" s="108">
        <f>Consolidado!U26+Consolidado!U31</f>
        <v>0</v>
      </c>
      <c r="AB9" s="108">
        <f>Consolidado!V26+Consolidado!V31</f>
        <v>0</v>
      </c>
      <c r="AC9" s="160" t="e">
        <f>AB9/AA9</f>
        <v>#DIV/0!</v>
      </c>
      <c r="AE9" s="122">
        <f>L9+O9+R9+U9+X9</f>
        <v>6552</v>
      </c>
    </row>
    <row r="10" spans="1:31" ht="30">
      <c r="A10" s="98" t="s">
        <v>174</v>
      </c>
      <c r="B10" s="80" t="s">
        <v>182</v>
      </c>
      <c r="C10" s="91" t="s">
        <v>183</v>
      </c>
      <c r="D10" s="104" t="s">
        <v>184</v>
      </c>
      <c r="E10" s="129">
        <f>'Detalle metas'!C24</f>
        <v>403</v>
      </c>
      <c r="F10" s="130"/>
      <c r="G10" s="130"/>
      <c r="H10" s="131"/>
      <c r="I10" s="87">
        <v>0</v>
      </c>
      <c r="J10" s="87">
        <v>0</v>
      </c>
      <c r="K10" s="155">
        <v>0</v>
      </c>
      <c r="L10" s="108">
        <f>Consolidado!F27</f>
        <v>48</v>
      </c>
      <c r="M10" s="108">
        <f>Consolidado!G27</f>
        <v>0</v>
      </c>
      <c r="N10" s="151">
        <f>M10/L10</f>
        <v>0</v>
      </c>
      <c r="O10" s="108">
        <f>Consolidado!I27</f>
        <v>92</v>
      </c>
      <c r="P10" s="108">
        <f>Consolidado!J27</f>
        <v>0</v>
      </c>
      <c r="Q10" s="151">
        <f>P10/O10</f>
        <v>0</v>
      </c>
      <c r="R10" s="108">
        <f>Consolidado!L27</f>
        <v>92</v>
      </c>
      <c r="S10" s="108">
        <f>Consolidado!M27</f>
        <v>0</v>
      </c>
      <c r="T10" s="151">
        <f>S10/R10</f>
        <v>0</v>
      </c>
      <c r="U10" s="116">
        <f>Consolidado!O27</f>
        <v>92</v>
      </c>
      <c r="V10" s="116">
        <f>Consolidado!P27</f>
        <v>0</v>
      </c>
      <c r="W10" s="151">
        <f>V10/U10</f>
        <v>0</v>
      </c>
      <c r="X10" s="108">
        <f>Consolidado!R27</f>
        <v>79</v>
      </c>
      <c r="Y10" s="108">
        <f>Consolidado!S27</f>
        <v>0</v>
      </c>
      <c r="Z10" s="151">
        <f>Y10/X10</f>
        <v>0</v>
      </c>
      <c r="AA10" s="108">
        <f>Consolidado!U27</f>
        <v>0</v>
      </c>
      <c r="AB10" s="108">
        <f>Consolidado!V27</f>
        <v>0</v>
      </c>
      <c r="AC10" s="160" t="e">
        <f>AB10/AA10</f>
        <v>#DIV/0!</v>
      </c>
      <c r="AE10" s="122">
        <f>L10+O10+R10+U10+X10</f>
        <v>403</v>
      </c>
    </row>
    <row r="11" spans="1:31" ht="15.75">
      <c r="A11" s="98" t="s">
        <v>174</v>
      </c>
      <c r="B11" s="80" t="s">
        <v>185</v>
      </c>
      <c r="C11" s="93" t="s">
        <v>186</v>
      </c>
      <c r="D11" s="104" t="s">
        <v>184</v>
      </c>
      <c r="E11" s="132"/>
      <c r="F11" s="130"/>
      <c r="G11" s="130"/>
      <c r="H11" s="131"/>
      <c r="I11" s="87">
        <v>0</v>
      </c>
      <c r="J11" s="87">
        <v>0</v>
      </c>
      <c r="K11" s="155">
        <v>0</v>
      </c>
      <c r="L11" s="108"/>
      <c r="M11" s="109"/>
      <c r="N11" s="153"/>
      <c r="O11" s="108"/>
      <c r="P11" s="109"/>
      <c r="Q11" s="153"/>
      <c r="R11" s="108"/>
      <c r="S11" s="109"/>
      <c r="T11" s="153"/>
      <c r="U11" s="116"/>
      <c r="V11" s="117"/>
      <c r="W11" s="153"/>
      <c r="X11" s="108"/>
      <c r="Y11" s="109"/>
      <c r="Z11" s="153"/>
      <c r="AA11" s="108"/>
      <c r="AB11" s="109"/>
      <c r="AC11" s="162"/>
    </row>
    <row r="12" spans="1:31" ht="30">
      <c r="A12" s="98" t="s">
        <v>187</v>
      </c>
      <c r="B12" s="80" t="s">
        <v>188</v>
      </c>
      <c r="C12" s="91" t="s">
        <v>189</v>
      </c>
      <c r="D12" s="104" t="s">
        <v>190</v>
      </c>
      <c r="E12" s="129">
        <f>Consolidado!I4+Consolidado!I5+Consolidado!I9</f>
        <v>17600</v>
      </c>
      <c r="F12" s="130">
        <f>Consolidado!I8</f>
        <v>2400</v>
      </c>
      <c r="G12" s="130"/>
      <c r="H12" s="131"/>
      <c r="I12" s="87">
        <v>0</v>
      </c>
      <c r="J12" s="87">
        <v>0</v>
      </c>
      <c r="K12" s="155">
        <v>0</v>
      </c>
      <c r="L12" s="108">
        <f>Consolidado!F24+Consolidado!F25+Consolidado!F29</f>
        <v>1760</v>
      </c>
      <c r="M12" s="108">
        <f>Consolidado!G24+Consolidado!G25+Consolidado!G29</f>
        <v>0</v>
      </c>
      <c r="N12" s="151">
        <f>M12/L12</f>
        <v>0</v>
      </c>
      <c r="O12" s="108">
        <f>Consolidado!I24+Consolidado!I25+Consolidado!I29</f>
        <v>3720</v>
      </c>
      <c r="P12" s="108">
        <f>Consolidado!J24+Consolidado!J25+Consolidado!J29</f>
        <v>0</v>
      </c>
      <c r="Q12" s="151">
        <f>P12/O12</f>
        <v>0</v>
      </c>
      <c r="R12" s="108">
        <f>Consolidado!L24+Consolidado!L25+Consolidado!L29</f>
        <v>4200</v>
      </c>
      <c r="S12" s="108">
        <f>Consolidado!M24+Consolidado!M25+Consolidado!M29</f>
        <v>0</v>
      </c>
      <c r="T12" s="151">
        <f>S12/R12</f>
        <v>0</v>
      </c>
      <c r="U12" s="116">
        <f>Consolidado!O24+Consolidado!O25+Consolidado!O29</f>
        <v>4200</v>
      </c>
      <c r="V12" s="116">
        <f>Consolidado!P24+Consolidado!P25+Consolidado!P29</f>
        <v>0</v>
      </c>
      <c r="W12" s="151">
        <f>V12/U12</f>
        <v>0</v>
      </c>
      <c r="X12" s="108">
        <f>Consolidado!R24+Consolidado!R25+Consolidado!R29</f>
        <v>3720</v>
      </c>
      <c r="Y12" s="108">
        <f>Consolidado!S24+Consolidado!S25+Consolidado!S29</f>
        <v>0</v>
      </c>
      <c r="Z12" s="151">
        <f>Y12/X12</f>
        <v>0</v>
      </c>
      <c r="AA12" s="108">
        <f>Consolidado!U24+Consolidado!U25+Consolidado!U29</f>
        <v>0</v>
      </c>
      <c r="AB12" s="108">
        <f>Consolidado!V24+Consolidado!V25+Consolidado!V29</f>
        <v>0</v>
      </c>
      <c r="AC12" s="160" t="e">
        <f>AB12/AA12</f>
        <v>#DIV/0!</v>
      </c>
      <c r="AE12" s="122">
        <f>L12+O12+R12+U12+X12</f>
        <v>17600</v>
      </c>
    </row>
    <row r="13" spans="1:31" ht="15.75">
      <c r="A13" s="99" t="s">
        <v>191</v>
      </c>
      <c r="B13" s="89" t="s">
        <v>192</v>
      </c>
      <c r="C13" s="92" t="s">
        <v>193</v>
      </c>
      <c r="D13" s="105"/>
      <c r="E13" s="133"/>
      <c r="F13" s="134"/>
      <c r="G13" s="134"/>
      <c r="H13" s="135"/>
      <c r="I13" s="90"/>
      <c r="J13" s="90"/>
      <c r="K13" s="156"/>
      <c r="L13" s="110"/>
      <c r="M13" s="111"/>
      <c r="N13" s="152"/>
      <c r="O13" s="110"/>
      <c r="P13" s="111"/>
      <c r="Q13" s="152"/>
      <c r="R13" s="110"/>
      <c r="S13" s="111"/>
      <c r="T13" s="152"/>
      <c r="U13" s="118"/>
      <c r="V13" s="119"/>
      <c r="W13" s="152"/>
      <c r="X13" s="110"/>
      <c r="Y13" s="111"/>
      <c r="Z13" s="152"/>
      <c r="AA13" s="110"/>
      <c r="AB13" s="111"/>
      <c r="AC13" s="161"/>
    </row>
    <row r="14" spans="1:31" ht="30">
      <c r="A14" s="99" t="s">
        <v>191</v>
      </c>
      <c r="B14" s="89" t="s">
        <v>194</v>
      </c>
      <c r="C14" s="92" t="s">
        <v>195</v>
      </c>
      <c r="D14" s="105"/>
      <c r="E14" s="137"/>
      <c r="F14" s="134"/>
      <c r="G14" s="134"/>
      <c r="H14" s="135"/>
      <c r="I14" s="90"/>
      <c r="J14" s="90"/>
      <c r="K14" s="156"/>
      <c r="L14" s="110"/>
      <c r="M14" s="111"/>
      <c r="N14" s="152"/>
      <c r="O14" s="110"/>
      <c r="P14" s="111"/>
      <c r="Q14" s="152"/>
      <c r="R14" s="110"/>
      <c r="S14" s="111"/>
      <c r="T14" s="152"/>
      <c r="U14" s="118"/>
      <c r="V14" s="119"/>
      <c r="W14" s="152"/>
      <c r="X14" s="110"/>
      <c r="Y14" s="111"/>
      <c r="Z14" s="152"/>
      <c r="AA14" s="110"/>
      <c r="AB14" s="111"/>
      <c r="AC14" s="161"/>
    </row>
    <row r="15" spans="1:31" ht="15.75">
      <c r="A15" s="99" t="s">
        <v>191</v>
      </c>
      <c r="B15" s="89" t="s">
        <v>196</v>
      </c>
      <c r="C15" s="92" t="s">
        <v>197</v>
      </c>
      <c r="D15" s="105"/>
      <c r="E15" s="137"/>
      <c r="F15" s="134"/>
      <c r="G15" s="134"/>
      <c r="H15" s="135"/>
      <c r="I15" s="90"/>
      <c r="J15" s="90"/>
      <c r="K15" s="156"/>
      <c r="L15" s="110"/>
      <c r="M15" s="111"/>
      <c r="N15" s="152"/>
      <c r="O15" s="110"/>
      <c r="P15" s="111"/>
      <c r="Q15" s="152"/>
      <c r="R15" s="110"/>
      <c r="S15" s="111"/>
      <c r="T15" s="152"/>
      <c r="U15" s="118"/>
      <c r="V15" s="119"/>
      <c r="W15" s="152"/>
      <c r="X15" s="110"/>
      <c r="Y15" s="111"/>
      <c r="Z15" s="152"/>
      <c r="AA15" s="110"/>
      <c r="AB15" s="111"/>
      <c r="AC15" s="161"/>
    </row>
    <row r="16" spans="1:31" ht="15.75">
      <c r="A16" s="99" t="s">
        <v>191</v>
      </c>
      <c r="B16" s="89" t="s">
        <v>198</v>
      </c>
      <c r="C16" s="92" t="s">
        <v>199</v>
      </c>
      <c r="D16" s="105"/>
      <c r="E16" s="133"/>
      <c r="F16" s="134"/>
      <c r="G16" s="134"/>
      <c r="H16" s="135"/>
      <c r="I16" s="90"/>
      <c r="J16" s="90"/>
      <c r="K16" s="156"/>
      <c r="L16" s="110"/>
      <c r="M16" s="111"/>
      <c r="N16" s="152"/>
      <c r="O16" s="110"/>
      <c r="P16" s="111"/>
      <c r="Q16" s="152"/>
      <c r="R16" s="110"/>
      <c r="S16" s="111"/>
      <c r="T16" s="152"/>
      <c r="U16" s="118"/>
      <c r="V16" s="119"/>
      <c r="W16" s="152"/>
      <c r="X16" s="110"/>
      <c r="Y16" s="111"/>
      <c r="Z16" s="152"/>
      <c r="AA16" s="110"/>
      <c r="AB16" s="111"/>
      <c r="AC16" s="161"/>
    </row>
    <row r="17" spans="1:29" ht="30">
      <c r="A17" s="99" t="s">
        <v>200</v>
      </c>
      <c r="B17" s="89" t="s">
        <v>201</v>
      </c>
      <c r="C17" s="92" t="s">
        <v>202</v>
      </c>
      <c r="D17" s="105"/>
      <c r="E17" s="137"/>
      <c r="F17" s="134"/>
      <c r="G17" s="134"/>
      <c r="H17" s="135"/>
      <c r="I17" s="90"/>
      <c r="J17" s="90"/>
      <c r="K17" s="156"/>
      <c r="L17" s="110"/>
      <c r="M17" s="111"/>
      <c r="N17" s="152"/>
      <c r="O17" s="110"/>
      <c r="P17" s="111"/>
      <c r="Q17" s="152"/>
      <c r="R17" s="110"/>
      <c r="S17" s="111"/>
      <c r="T17" s="152"/>
      <c r="U17" s="118"/>
      <c r="V17" s="119"/>
      <c r="W17" s="152"/>
      <c r="X17" s="110"/>
      <c r="Y17" s="111"/>
      <c r="Z17" s="152"/>
      <c r="AA17" s="110"/>
      <c r="AB17" s="111"/>
      <c r="AC17" s="161"/>
    </row>
    <row r="18" spans="1:29" ht="15.75">
      <c r="A18" s="99" t="s">
        <v>200</v>
      </c>
      <c r="B18" s="89" t="s">
        <v>203</v>
      </c>
      <c r="C18" s="92" t="s">
        <v>204</v>
      </c>
      <c r="D18" s="105"/>
      <c r="E18" s="133"/>
      <c r="F18" s="134"/>
      <c r="G18" s="134"/>
      <c r="H18" s="135"/>
      <c r="I18" s="90"/>
      <c r="J18" s="90"/>
      <c r="K18" s="156"/>
      <c r="L18" s="110"/>
      <c r="M18" s="111"/>
      <c r="N18" s="152"/>
      <c r="O18" s="110"/>
      <c r="P18" s="111"/>
      <c r="Q18" s="152"/>
      <c r="R18" s="110"/>
      <c r="S18" s="111"/>
      <c r="T18" s="152"/>
      <c r="U18" s="118"/>
      <c r="V18" s="119"/>
      <c r="W18" s="152"/>
      <c r="X18" s="110"/>
      <c r="Y18" s="111"/>
      <c r="Z18" s="152"/>
      <c r="AA18" s="110"/>
      <c r="AB18" s="111"/>
      <c r="AC18" s="161"/>
    </row>
    <row r="19" spans="1:29" ht="15.75">
      <c r="A19" s="99" t="s">
        <v>200</v>
      </c>
      <c r="B19" s="89" t="s">
        <v>205</v>
      </c>
      <c r="C19" s="92" t="s">
        <v>206</v>
      </c>
      <c r="D19" s="105"/>
      <c r="E19" s="137"/>
      <c r="F19" s="134"/>
      <c r="G19" s="134"/>
      <c r="H19" s="135"/>
      <c r="I19" s="90"/>
      <c r="J19" s="90"/>
      <c r="K19" s="156"/>
      <c r="L19" s="110"/>
      <c r="M19" s="111"/>
      <c r="N19" s="152"/>
      <c r="O19" s="110"/>
      <c r="P19" s="111"/>
      <c r="Q19" s="152"/>
      <c r="R19" s="110"/>
      <c r="S19" s="111"/>
      <c r="T19" s="152"/>
      <c r="U19" s="118"/>
      <c r="V19" s="119"/>
      <c r="W19" s="152"/>
      <c r="X19" s="110"/>
      <c r="Y19" s="111"/>
      <c r="Z19" s="152"/>
      <c r="AA19" s="110"/>
      <c r="AB19" s="111"/>
      <c r="AC19" s="161"/>
    </row>
    <row r="20" spans="1:29" ht="32.25" thickBot="1">
      <c r="A20" s="100" t="s">
        <v>207</v>
      </c>
      <c r="B20" s="101" t="s">
        <v>208</v>
      </c>
      <c r="C20" s="102" t="s">
        <v>209</v>
      </c>
      <c r="D20" s="106"/>
      <c r="E20" s="138"/>
      <c r="F20" s="139"/>
      <c r="G20" s="139"/>
      <c r="H20" s="140"/>
      <c r="I20" s="88">
        <v>0</v>
      </c>
      <c r="J20" s="88">
        <v>0</v>
      </c>
      <c r="K20" s="157">
        <v>0</v>
      </c>
      <c r="L20" s="112"/>
      <c r="M20" s="113"/>
      <c r="N20" s="154"/>
      <c r="O20" s="112"/>
      <c r="P20" s="113"/>
      <c r="Q20" s="154"/>
      <c r="R20" s="112"/>
      <c r="S20" s="113"/>
      <c r="T20" s="154"/>
      <c r="U20" s="120"/>
      <c r="V20" s="121"/>
      <c r="W20" s="154"/>
      <c r="X20" s="112"/>
      <c r="Y20" s="113"/>
      <c r="Z20" s="154"/>
      <c r="AA20" s="112"/>
      <c r="AB20" s="113"/>
      <c r="AC20" s="163"/>
    </row>
  </sheetData>
  <autoFilter ref="B2:H20" xr:uid="{9EB2BEE9-E493-4252-B3E2-E5220D101D14}"/>
  <mergeCells count="7">
    <mergeCell ref="AA1:AC1"/>
    <mergeCell ref="I1:K1"/>
    <mergeCell ref="L1:N1"/>
    <mergeCell ref="O1:Q1"/>
    <mergeCell ref="R1:T1"/>
    <mergeCell ref="U1:W1"/>
    <mergeCell ref="X1:Z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N76"/>
  <sheetViews>
    <sheetView topLeftCell="A48" zoomScaleNormal="100" workbookViewId="0">
      <selection activeCell="S22" sqref="S22"/>
    </sheetView>
  </sheetViews>
  <sheetFormatPr defaultColWidth="8.7109375" defaultRowHeight="15"/>
  <cols>
    <col min="1" max="1" width="6.42578125" customWidth="1"/>
    <col min="2" max="13" width="12" customWidth="1"/>
    <col min="14" max="14" width="5.7109375" customWidth="1"/>
  </cols>
  <sheetData>
    <row r="1" spans="1:14" ht="30" customHeight="1">
      <c r="A1" s="184" t="s">
        <v>210</v>
      </c>
      <c r="B1" s="184"/>
      <c r="C1" s="184"/>
      <c r="D1" s="184"/>
      <c r="E1" s="184"/>
      <c r="F1" s="184"/>
      <c r="G1" s="184"/>
      <c r="H1" s="184"/>
      <c r="I1" s="184"/>
      <c r="J1" s="184"/>
      <c r="K1" s="184"/>
      <c r="L1" s="184"/>
      <c r="M1" s="184"/>
      <c r="N1" s="184"/>
    </row>
    <row r="2" spans="1:14" ht="9" customHeight="1">
      <c r="A2" s="185"/>
      <c r="B2" s="185"/>
      <c r="C2" s="185"/>
      <c r="D2" s="185"/>
      <c r="E2" s="185"/>
      <c r="F2" s="185"/>
      <c r="G2" s="185"/>
      <c r="H2" s="185"/>
      <c r="I2" s="185"/>
      <c r="J2" s="185"/>
      <c r="K2" s="185"/>
      <c r="L2" s="185"/>
      <c r="M2" s="185"/>
      <c r="N2" s="185"/>
    </row>
    <row r="3" spans="1:14">
      <c r="A3" s="73"/>
      <c r="B3" s="73"/>
      <c r="C3" s="73"/>
      <c r="D3" s="73"/>
      <c r="E3" s="73"/>
      <c r="F3" s="73"/>
      <c r="G3" s="73"/>
      <c r="H3" s="73"/>
      <c r="I3" s="73"/>
      <c r="J3" s="73"/>
      <c r="K3" s="73"/>
      <c r="L3" s="73"/>
      <c r="M3" s="73"/>
      <c r="N3" s="73"/>
    </row>
    <row r="4" spans="1:14">
      <c r="A4" s="73"/>
      <c r="B4" s="73"/>
      <c r="C4" s="73"/>
      <c r="D4" s="73"/>
      <c r="E4" s="73"/>
      <c r="F4" s="73"/>
      <c r="G4" s="73"/>
      <c r="H4" s="73"/>
      <c r="I4" s="73"/>
      <c r="J4" s="73"/>
      <c r="K4" s="73"/>
      <c r="L4" s="73"/>
      <c r="M4" s="73"/>
      <c r="N4" s="73"/>
    </row>
    <row r="5" spans="1:14">
      <c r="A5" s="73"/>
      <c r="B5" s="73"/>
      <c r="C5" s="73"/>
      <c r="D5" s="73"/>
      <c r="E5" s="73"/>
      <c r="F5" s="73"/>
      <c r="G5" s="73"/>
      <c r="H5" s="73"/>
      <c r="I5" s="73"/>
      <c r="J5" s="73"/>
      <c r="K5" s="73"/>
      <c r="L5" s="73"/>
      <c r="M5" s="73"/>
      <c r="N5" s="73"/>
    </row>
    <row r="6" spans="1:14">
      <c r="A6" s="73"/>
      <c r="B6" s="73"/>
      <c r="C6" s="73"/>
      <c r="D6" s="73"/>
      <c r="E6" s="73"/>
      <c r="F6" s="73"/>
      <c r="G6" s="73"/>
      <c r="H6" s="73"/>
      <c r="I6" s="73"/>
      <c r="J6" s="73"/>
      <c r="K6" s="73"/>
      <c r="L6" s="73"/>
      <c r="M6" s="73"/>
      <c r="N6" s="73"/>
    </row>
    <row r="7" spans="1:14">
      <c r="A7" s="73"/>
      <c r="B7" s="73"/>
      <c r="C7" s="73"/>
      <c r="D7" s="73"/>
      <c r="E7" s="73"/>
      <c r="F7" s="73"/>
      <c r="G7" s="73"/>
      <c r="H7" s="73"/>
      <c r="I7" s="73"/>
      <c r="J7" s="73"/>
      <c r="K7" s="73"/>
      <c r="L7" s="73"/>
      <c r="M7" s="73"/>
      <c r="N7" s="73"/>
    </row>
    <row r="8" spans="1:14">
      <c r="A8" s="73"/>
      <c r="B8" s="73"/>
      <c r="C8" s="73"/>
      <c r="D8" s="73"/>
      <c r="E8" s="73"/>
      <c r="F8" s="73"/>
      <c r="G8" s="73"/>
      <c r="H8" s="73"/>
      <c r="I8" s="73"/>
      <c r="J8" s="73"/>
      <c r="K8" s="73"/>
      <c r="L8" s="73"/>
      <c r="M8" s="73"/>
      <c r="N8" s="73"/>
    </row>
    <row r="9" spans="1:14">
      <c r="A9" s="73"/>
      <c r="B9" s="73"/>
      <c r="C9" s="73"/>
      <c r="D9" s="73"/>
      <c r="E9" s="73"/>
      <c r="F9" s="73"/>
      <c r="G9" s="73"/>
      <c r="H9" s="73"/>
      <c r="I9" s="73"/>
      <c r="J9" s="73"/>
      <c r="K9" s="73"/>
      <c r="L9" s="73"/>
      <c r="M9" s="73"/>
      <c r="N9" s="73"/>
    </row>
    <row r="10" spans="1:14">
      <c r="A10" s="73"/>
      <c r="B10" s="73"/>
      <c r="C10" s="73"/>
      <c r="D10" s="73"/>
      <c r="E10" s="73"/>
      <c r="F10" s="73"/>
      <c r="G10" s="73"/>
      <c r="H10" s="73"/>
      <c r="I10" s="73"/>
      <c r="J10" s="73"/>
      <c r="K10" s="73"/>
      <c r="L10" s="73"/>
      <c r="M10" s="73"/>
      <c r="N10" s="73"/>
    </row>
    <row r="11" spans="1:14">
      <c r="A11" s="73"/>
      <c r="B11" s="73"/>
      <c r="C11" s="73"/>
      <c r="D11" s="73"/>
      <c r="E11" s="73"/>
      <c r="F11" s="73"/>
      <c r="G11" s="73"/>
      <c r="H11" s="73"/>
      <c r="I11" s="73"/>
      <c r="J11" s="73"/>
      <c r="K11" s="73"/>
      <c r="L11" s="73"/>
      <c r="M11" s="73"/>
      <c r="N11" s="73"/>
    </row>
    <row r="12" spans="1:14">
      <c r="A12" s="73"/>
      <c r="B12" s="73"/>
      <c r="C12" s="73"/>
      <c r="D12" s="73"/>
      <c r="E12" s="73"/>
      <c r="F12" s="73"/>
      <c r="G12" s="73"/>
      <c r="H12" s="73"/>
      <c r="I12" s="73"/>
      <c r="J12" s="73"/>
      <c r="K12" s="73"/>
      <c r="L12" s="73"/>
      <c r="M12" s="73"/>
      <c r="N12" s="73"/>
    </row>
    <row r="13" spans="1:14">
      <c r="A13" s="73"/>
      <c r="B13" s="73"/>
      <c r="C13" s="73"/>
      <c r="D13" s="73"/>
      <c r="E13" s="73"/>
      <c r="F13" s="73"/>
      <c r="G13" s="73"/>
      <c r="H13" s="73"/>
      <c r="I13" s="73"/>
      <c r="J13" s="73"/>
      <c r="K13" s="73"/>
      <c r="L13" s="73"/>
      <c r="M13" s="73"/>
      <c r="N13" s="73"/>
    </row>
    <row r="14" spans="1:14">
      <c r="A14" s="73"/>
      <c r="B14" s="73"/>
      <c r="C14" s="73"/>
      <c r="D14" s="73"/>
      <c r="E14" s="73"/>
      <c r="F14" s="73"/>
      <c r="G14" s="73"/>
      <c r="H14" s="73"/>
      <c r="I14" s="73"/>
      <c r="J14" s="73"/>
      <c r="K14" s="73"/>
      <c r="L14" s="73"/>
      <c r="M14" s="73"/>
      <c r="N14" s="73"/>
    </row>
    <row r="15" spans="1:14">
      <c r="A15" s="73"/>
      <c r="B15" s="73"/>
      <c r="C15" s="73"/>
      <c r="D15" s="73"/>
      <c r="E15" s="73"/>
      <c r="F15" s="73"/>
      <c r="G15" s="73"/>
      <c r="H15" s="73"/>
      <c r="I15" s="73"/>
      <c r="J15" s="73"/>
      <c r="K15" s="73"/>
      <c r="L15" s="73"/>
      <c r="M15" s="73"/>
      <c r="N15" s="73"/>
    </row>
    <row r="16" spans="1:14">
      <c r="A16" s="73"/>
      <c r="B16" s="73"/>
      <c r="C16" s="73"/>
      <c r="D16" s="73"/>
      <c r="E16" s="73"/>
      <c r="F16" s="73"/>
      <c r="G16" s="73"/>
      <c r="H16" s="73"/>
      <c r="I16" s="73"/>
      <c r="J16" s="73"/>
      <c r="K16" s="73"/>
      <c r="L16" s="73"/>
      <c r="M16" s="73"/>
      <c r="N16" s="73"/>
    </row>
    <row r="17" spans="1:14">
      <c r="A17" s="73"/>
      <c r="B17" s="73"/>
      <c r="C17" s="73"/>
      <c r="D17" s="73"/>
      <c r="E17" s="73"/>
      <c r="F17" s="73"/>
      <c r="G17" s="73"/>
      <c r="H17" s="73"/>
      <c r="I17" s="73"/>
      <c r="J17" s="73"/>
      <c r="K17" s="73"/>
      <c r="L17" s="73"/>
      <c r="M17" s="73"/>
      <c r="N17" s="73"/>
    </row>
    <row r="18" spans="1:14">
      <c r="A18" s="73"/>
      <c r="B18" s="73"/>
      <c r="C18" s="73"/>
      <c r="D18" s="73"/>
      <c r="E18" s="73"/>
      <c r="F18" s="73"/>
      <c r="G18" s="73"/>
      <c r="H18" s="73"/>
      <c r="I18" s="73"/>
      <c r="J18" s="73"/>
      <c r="K18" s="73"/>
      <c r="L18" s="73"/>
      <c r="M18" s="73"/>
      <c r="N18" s="73"/>
    </row>
    <row r="19" spans="1:14">
      <c r="A19" s="73"/>
      <c r="B19" s="73"/>
      <c r="C19" s="73"/>
      <c r="D19" s="73"/>
      <c r="E19" s="73"/>
      <c r="F19" s="73"/>
      <c r="G19" s="73"/>
      <c r="H19" s="73"/>
      <c r="I19" s="73"/>
      <c r="J19" s="73"/>
      <c r="K19" s="73"/>
      <c r="L19" s="73"/>
      <c r="M19" s="73"/>
      <c r="N19" s="73"/>
    </row>
    <row r="20" spans="1:14">
      <c r="A20" s="73"/>
      <c r="B20" s="73"/>
      <c r="C20" s="73"/>
      <c r="D20" s="73"/>
      <c r="E20" s="73"/>
      <c r="F20" s="73"/>
      <c r="G20" s="73"/>
      <c r="H20" s="73"/>
      <c r="I20" s="73"/>
      <c r="J20" s="73"/>
      <c r="K20" s="73"/>
      <c r="L20" s="73"/>
      <c r="M20" s="73"/>
      <c r="N20" s="73"/>
    </row>
    <row r="21" spans="1:14">
      <c r="A21" s="73"/>
      <c r="B21" s="73"/>
      <c r="C21" s="73"/>
      <c r="D21" s="73"/>
      <c r="E21" s="73"/>
      <c r="F21" s="73"/>
      <c r="G21" s="73"/>
      <c r="H21" s="73"/>
      <c r="I21" s="73"/>
      <c r="J21" s="73"/>
      <c r="K21" s="73"/>
      <c r="L21" s="73"/>
      <c r="M21" s="73"/>
      <c r="N21" s="73"/>
    </row>
    <row r="22" spans="1:14">
      <c r="A22" s="73"/>
      <c r="B22" s="73"/>
      <c r="C22" s="73"/>
      <c r="D22" s="73"/>
      <c r="E22" s="73"/>
      <c r="F22" s="73"/>
      <c r="G22" s="73"/>
      <c r="H22" s="73"/>
      <c r="I22" s="73"/>
      <c r="J22" s="73"/>
      <c r="K22" s="73"/>
      <c r="L22" s="73"/>
      <c r="M22" s="73"/>
      <c r="N22" s="73"/>
    </row>
    <row r="23" spans="1:14">
      <c r="A23" s="73"/>
      <c r="B23" s="73"/>
      <c r="C23" s="73"/>
      <c r="D23" s="73"/>
      <c r="E23" s="73"/>
      <c r="F23" s="73"/>
      <c r="G23" s="73"/>
      <c r="H23" s="73"/>
      <c r="I23" s="73"/>
      <c r="J23" s="73"/>
      <c r="K23" s="73"/>
      <c r="L23" s="73"/>
      <c r="M23" s="73"/>
      <c r="N23" s="73"/>
    </row>
    <row r="24" spans="1:14">
      <c r="A24" s="73"/>
      <c r="B24" s="73"/>
      <c r="C24" s="73"/>
      <c r="D24" s="73"/>
      <c r="E24" s="73"/>
      <c r="F24" s="73"/>
      <c r="G24" s="73"/>
      <c r="H24" s="73"/>
      <c r="I24" s="73"/>
      <c r="J24" s="73"/>
      <c r="K24" s="73"/>
      <c r="L24" s="73"/>
      <c r="M24" s="73"/>
      <c r="N24" s="73"/>
    </row>
    <row r="25" spans="1:14">
      <c r="A25" s="73"/>
      <c r="B25" s="73"/>
      <c r="C25" s="73"/>
      <c r="D25" s="73"/>
      <c r="E25" s="73"/>
      <c r="F25" s="73"/>
      <c r="G25" s="73"/>
      <c r="H25" s="73"/>
      <c r="I25" s="73"/>
      <c r="J25" s="73"/>
      <c r="K25" s="73"/>
      <c r="L25" s="73"/>
      <c r="M25" s="73"/>
      <c r="N25" s="73"/>
    </row>
    <row r="26" spans="1:14">
      <c r="A26" s="73"/>
      <c r="B26" s="73"/>
      <c r="C26" s="73"/>
      <c r="D26" s="73"/>
      <c r="E26" s="73"/>
      <c r="F26" s="73"/>
      <c r="G26" s="73"/>
      <c r="H26" s="73"/>
      <c r="I26" s="73"/>
      <c r="J26" s="73"/>
      <c r="K26" s="73"/>
      <c r="L26" s="73"/>
      <c r="M26" s="73"/>
      <c r="N26" s="73"/>
    </row>
    <row r="27" spans="1:14">
      <c r="A27" s="73"/>
      <c r="B27" s="73"/>
      <c r="C27" s="73"/>
      <c r="D27" s="73"/>
      <c r="E27" s="73"/>
      <c r="F27" s="73"/>
      <c r="G27" s="73"/>
      <c r="H27" s="73"/>
      <c r="I27" s="73"/>
      <c r="J27" s="73"/>
      <c r="K27" s="73"/>
      <c r="L27" s="73"/>
      <c r="M27" s="73"/>
      <c r="N27" s="73"/>
    </row>
    <row r="28" spans="1:14">
      <c r="A28" s="73"/>
      <c r="B28" s="73"/>
      <c r="C28" s="73"/>
      <c r="D28" s="73"/>
      <c r="E28" s="73"/>
      <c r="F28" s="73"/>
      <c r="G28" s="73"/>
      <c r="H28" s="73"/>
      <c r="I28" s="73"/>
      <c r="J28" s="73"/>
      <c r="K28" s="73"/>
      <c r="L28" s="73"/>
      <c r="M28" s="73"/>
      <c r="N28" s="73"/>
    </row>
    <row r="29" spans="1:14">
      <c r="A29" s="73"/>
      <c r="B29" s="73"/>
      <c r="C29" s="73"/>
      <c r="D29" s="73"/>
      <c r="E29" s="73"/>
      <c r="F29" s="73"/>
      <c r="G29" s="73"/>
      <c r="H29" s="73"/>
      <c r="I29" s="73"/>
      <c r="J29" s="73"/>
      <c r="K29" s="73"/>
      <c r="L29" s="73"/>
      <c r="M29" s="73"/>
      <c r="N29" s="73"/>
    </row>
    <row r="30" spans="1:14">
      <c r="A30" s="73"/>
      <c r="B30" s="73"/>
      <c r="C30" s="73"/>
      <c r="D30" s="73"/>
      <c r="E30" s="73"/>
      <c r="F30" s="73"/>
      <c r="G30" s="73"/>
      <c r="H30" s="73"/>
      <c r="I30" s="73"/>
      <c r="J30" s="73"/>
      <c r="K30" s="73"/>
      <c r="L30" s="73"/>
      <c r="M30" s="73"/>
      <c r="N30" s="73"/>
    </row>
    <row r="31" spans="1:14">
      <c r="A31" s="73"/>
      <c r="B31" s="73"/>
      <c r="C31" s="73"/>
      <c r="D31" s="73"/>
      <c r="E31" s="73"/>
      <c r="F31" s="73"/>
      <c r="G31" s="73"/>
      <c r="H31" s="73"/>
      <c r="I31" s="73"/>
      <c r="J31" s="73"/>
      <c r="K31" s="73"/>
      <c r="L31" s="73"/>
      <c r="M31" s="73"/>
      <c r="N31" s="73"/>
    </row>
    <row r="32" spans="1:14">
      <c r="A32" s="73"/>
      <c r="B32" s="73"/>
      <c r="C32" s="73"/>
      <c r="D32" s="73"/>
      <c r="E32" s="73"/>
      <c r="F32" s="73"/>
      <c r="G32" s="73"/>
      <c r="H32" s="73"/>
      <c r="I32" s="73"/>
      <c r="J32" s="73"/>
      <c r="K32" s="73"/>
      <c r="L32" s="73"/>
      <c r="M32" s="73"/>
      <c r="N32" s="73"/>
    </row>
    <row r="33" spans="1:14">
      <c r="A33" s="73"/>
      <c r="B33" s="73"/>
      <c r="C33" s="73"/>
      <c r="D33" s="73"/>
      <c r="E33" s="73"/>
      <c r="F33" s="73"/>
      <c r="G33" s="73"/>
      <c r="H33" s="73"/>
      <c r="I33" s="73"/>
      <c r="J33" s="73"/>
      <c r="K33" s="73"/>
      <c r="L33" s="73"/>
      <c r="M33" s="73"/>
      <c r="N33" s="73"/>
    </row>
    <row r="34" spans="1:14">
      <c r="A34" s="73"/>
      <c r="B34" s="73"/>
      <c r="C34" s="73"/>
      <c r="D34" s="73"/>
      <c r="E34" s="73"/>
      <c r="F34" s="73"/>
      <c r="G34" s="73"/>
      <c r="H34" s="73"/>
      <c r="I34" s="73"/>
      <c r="J34" s="73"/>
      <c r="K34" s="73"/>
      <c r="L34" s="73"/>
      <c r="M34" s="73"/>
      <c r="N34" s="73"/>
    </row>
    <row r="35" spans="1:14">
      <c r="A35" s="73"/>
      <c r="B35" s="73"/>
      <c r="C35" s="73"/>
      <c r="D35" s="73"/>
      <c r="E35" s="73"/>
      <c r="F35" s="73"/>
      <c r="G35" s="73"/>
      <c r="H35" s="73"/>
      <c r="I35" s="73"/>
      <c r="J35" s="73"/>
      <c r="K35" s="73"/>
      <c r="L35" s="73"/>
      <c r="M35" s="73"/>
      <c r="N35" s="73"/>
    </row>
    <row r="36" spans="1:14">
      <c r="A36" s="73"/>
      <c r="B36" s="73"/>
      <c r="C36" s="73"/>
      <c r="D36" s="73"/>
      <c r="E36" s="73"/>
      <c r="F36" s="73"/>
      <c r="G36" s="73"/>
      <c r="H36" s="73"/>
      <c r="I36" s="73"/>
      <c r="J36" s="73"/>
      <c r="K36" s="73"/>
      <c r="L36" s="73"/>
      <c r="M36" s="73"/>
      <c r="N36" s="73"/>
    </row>
    <row r="37" spans="1:14">
      <c r="A37" s="73"/>
      <c r="B37" s="73"/>
      <c r="C37" s="73"/>
      <c r="D37" s="73"/>
      <c r="E37" s="73"/>
      <c r="F37" s="73"/>
      <c r="G37" s="73"/>
      <c r="H37" s="73"/>
      <c r="I37" s="73"/>
      <c r="J37" s="73"/>
      <c r="K37" s="73"/>
      <c r="L37" s="73"/>
      <c r="M37" s="73"/>
      <c r="N37" s="73"/>
    </row>
    <row r="38" spans="1:14">
      <c r="A38" s="73"/>
      <c r="B38" s="73"/>
      <c r="C38" s="73"/>
      <c r="D38" s="73"/>
      <c r="E38" s="73"/>
      <c r="F38" s="73"/>
      <c r="G38" s="73"/>
      <c r="H38" s="73"/>
      <c r="I38" s="73"/>
      <c r="J38" s="73"/>
      <c r="K38" s="73"/>
      <c r="L38" s="73"/>
      <c r="M38" s="73"/>
      <c r="N38" s="73"/>
    </row>
    <row r="39" spans="1:14">
      <c r="A39" s="73"/>
      <c r="B39" s="73"/>
      <c r="C39" s="73"/>
      <c r="D39" s="73"/>
      <c r="E39" s="73"/>
      <c r="F39" s="73"/>
      <c r="G39" s="73"/>
      <c r="H39" s="73"/>
      <c r="I39" s="73"/>
      <c r="J39" s="73"/>
      <c r="K39" s="73"/>
      <c r="L39" s="73"/>
      <c r="M39" s="73"/>
      <c r="N39" s="73"/>
    </row>
    <row r="40" spans="1:14">
      <c r="A40" s="73"/>
      <c r="B40" s="73"/>
      <c r="C40" s="73"/>
      <c r="D40" s="73"/>
      <c r="E40" s="73"/>
      <c r="F40" s="73"/>
      <c r="G40" s="73"/>
      <c r="H40" s="73"/>
      <c r="I40" s="73"/>
      <c r="J40" s="73"/>
      <c r="K40" s="73"/>
      <c r="L40" s="73"/>
      <c r="M40" s="73"/>
      <c r="N40" s="73"/>
    </row>
    <row r="41" spans="1:14">
      <c r="A41" s="73"/>
      <c r="B41" s="73"/>
      <c r="C41" s="73"/>
      <c r="D41" s="73"/>
      <c r="E41" s="73"/>
      <c r="F41" s="73"/>
      <c r="G41" s="73"/>
      <c r="H41" s="73"/>
      <c r="I41" s="73"/>
      <c r="J41" s="73"/>
      <c r="K41" s="73"/>
      <c r="L41" s="73"/>
      <c r="M41" s="73"/>
      <c r="N41" s="73"/>
    </row>
    <row r="42" spans="1:14">
      <c r="A42" s="73"/>
      <c r="B42" s="73"/>
      <c r="C42" s="73"/>
      <c r="D42" s="73"/>
      <c r="E42" s="73"/>
      <c r="F42" s="73"/>
      <c r="G42" s="73"/>
      <c r="H42" s="73"/>
      <c r="I42" s="73"/>
      <c r="J42" s="73"/>
      <c r="K42" s="73"/>
      <c r="L42" s="73"/>
      <c r="M42" s="73"/>
      <c r="N42" s="73"/>
    </row>
    <row r="43" spans="1:14">
      <c r="A43" s="73"/>
      <c r="B43" s="73"/>
      <c r="C43" s="73"/>
      <c r="D43" s="73"/>
      <c r="E43" s="73"/>
      <c r="F43" s="73"/>
      <c r="G43" s="73"/>
      <c r="H43" s="73"/>
      <c r="I43" s="73"/>
      <c r="J43" s="73"/>
      <c r="K43" s="73"/>
      <c r="L43" s="73"/>
      <c r="M43" s="73"/>
      <c r="N43" s="73"/>
    </row>
    <row r="44" spans="1:14">
      <c r="A44" s="73"/>
      <c r="B44" s="73"/>
      <c r="C44" s="73"/>
      <c r="D44" s="73"/>
      <c r="E44" s="73"/>
      <c r="F44" s="73"/>
      <c r="G44" s="73"/>
      <c r="H44" s="73"/>
      <c r="I44" s="73"/>
      <c r="J44" s="73"/>
      <c r="K44" s="73"/>
      <c r="L44" s="73"/>
      <c r="M44" s="73"/>
      <c r="N44" s="73"/>
    </row>
    <row r="45" spans="1:14">
      <c r="A45" s="73"/>
      <c r="B45" s="73"/>
      <c r="C45" s="73"/>
      <c r="D45" s="73"/>
      <c r="E45" s="73"/>
      <c r="F45" s="73"/>
      <c r="G45" s="73"/>
      <c r="H45" s="73"/>
      <c r="I45" s="73"/>
      <c r="J45" s="73"/>
      <c r="K45" s="73"/>
      <c r="L45" s="73"/>
      <c r="M45" s="73"/>
      <c r="N45" s="73"/>
    </row>
    <row r="46" spans="1:14">
      <c r="A46" s="73"/>
      <c r="B46" s="73"/>
      <c r="C46" s="73"/>
      <c r="D46" s="73"/>
      <c r="E46" s="73"/>
      <c r="F46" s="73"/>
      <c r="G46" s="73"/>
      <c r="H46" s="73"/>
      <c r="I46" s="73"/>
      <c r="J46" s="73"/>
      <c r="K46" s="73"/>
      <c r="L46" s="73"/>
      <c r="M46" s="73"/>
      <c r="N46" s="73"/>
    </row>
    <row r="47" spans="1:14">
      <c r="A47" s="73"/>
      <c r="B47" s="73"/>
      <c r="C47" s="73"/>
      <c r="D47" s="73"/>
      <c r="E47" s="73"/>
      <c r="F47" s="73"/>
      <c r="G47" s="73"/>
      <c r="H47" s="73"/>
      <c r="I47" s="73"/>
      <c r="J47" s="73"/>
      <c r="K47" s="73"/>
      <c r="L47" s="73"/>
      <c r="M47" s="73"/>
      <c r="N47" s="73"/>
    </row>
    <row r="48" spans="1:14">
      <c r="A48" s="73"/>
      <c r="B48" s="73"/>
      <c r="C48" s="73"/>
      <c r="D48" s="73"/>
      <c r="E48" s="73"/>
      <c r="F48" s="73"/>
      <c r="G48" s="73"/>
      <c r="H48" s="73"/>
      <c r="I48" s="73"/>
      <c r="J48" s="73"/>
      <c r="K48" s="73"/>
      <c r="L48" s="73"/>
      <c r="M48" s="73"/>
      <c r="N48" s="73"/>
    </row>
    <row r="49" spans="1:14">
      <c r="A49" s="73"/>
      <c r="B49" s="73"/>
      <c r="C49" s="73"/>
      <c r="D49" s="73"/>
      <c r="E49" s="73"/>
      <c r="F49" s="73"/>
      <c r="G49" s="73"/>
      <c r="H49" s="73"/>
      <c r="I49" s="73"/>
      <c r="J49" s="73"/>
      <c r="K49" s="73"/>
      <c r="L49" s="73"/>
      <c r="M49" s="73"/>
      <c r="N49" s="73"/>
    </row>
    <row r="50" spans="1:14">
      <c r="A50" s="73"/>
      <c r="B50" s="73"/>
      <c r="C50" s="73"/>
      <c r="D50" s="73"/>
      <c r="E50" s="73"/>
      <c r="F50" s="73"/>
      <c r="G50" s="73"/>
      <c r="H50" s="73"/>
      <c r="I50" s="73"/>
      <c r="J50" s="73"/>
      <c r="K50" s="73"/>
      <c r="L50" s="73"/>
      <c r="M50" s="73"/>
      <c r="N50" s="73"/>
    </row>
    <row r="51" spans="1:14">
      <c r="A51" s="73"/>
      <c r="B51" s="73"/>
      <c r="C51" s="73"/>
      <c r="D51" s="73"/>
      <c r="E51" s="73"/>
      <c r="F51" s="73"/>
      <c r="G51" s="73"/>
      <c r="H51" s="73"/>
      <c r="I51" s="73"/>
      <c r="J51" s="73"/>
      <c r="K51" s="73"/>
      <c r="L51" s="73"/>
      <c r="M51" s="73"/>
      <c r="N51" s="73"/>
    </row>
    <row r="52" spans="1:14">
      <c r="A52" s="73"/>
      <c r="B52" s="73"/>
      <c r="C52" s="73"/>
      <c r="D52" s="73"/>
      <c r="E52" s="73"/>
      <c r="F52" s="73"/>
      <c r="G52" s="73"/>
      <c r="H52" s="73"/>
      <c r="I52" s="73"/>
      <c r="J52" s="73"/>
      <c r="K52" s="73"/>
      <c r="L52" s="73"/>
      <c r="M52" s="73"/>
      <c r="N52" s="73"/>
    </row>
    <row r="53" spans="1:14">
      <c r="A53" s="73"/>
      <c r="B53" s="73"/>
      <c r="C53" s="73"/>
      <c r="D53" s="73"/>
      <c r="E53" s="73"/>
      <c r="F53" s="73"/>
      <c r="G53" s="73"/>
      <c r="H53" s="73"/>
      <c r="I53" s="73"/>
      <c r="J53" s="73"/>
      <c r="K53" s="73"/>
      <c r="L53" s="73"/>
      <c r="M53" s="73"/>
      <c r="N53" s="73"/>
    </row>
    <row r="54" spans="1:14">
      <c r="A54" s="73"/>
      <c r="B54" s="73"/>
      <c r="C54" s="73"/>
      <c r="D54" s="73"/>
      <c r="E54" s="73"/>
      <c r="F54" s="73"/>
      <c r="G54" s="73"/>
      <c r="H54" s="73"/>
      <c r="I54" s="73"/>
      <c r="J54" s="73"/>
      <c r="K54" s="73"/>
      <c r="L54" s="73"/>
      <c r="M54" s="73"/>
      <c r="N54" s="73"/>
    </row>
    <row r="55" spans="1:14">
      <c r="A55" s="73"/>
      <c r="B55" s="73"/>
      <c r="C55" s="73"/>
      <c r="D55" s="73"/>
      <c r="E55" s="73"/>
      <c r="F55" s="73"/>
      <c r="G55" s="73"/>
      <c r="H55" s="73"/>
      <c r="I55" s="73"/>
      <c r="J55" s="73"/>
      <c r="K55" s="73"/>
      <c r="L55" s="73"/>
      <c r="M55" s="73"/>
      <c r="N55" s="73"/>
    </row>
    <row r="56" spans="1:14">
      <c r="A56" s="73"/>
      <c r="B56" s="73"/>
      <c r="C56" s="73"/>
      <c r="D56" s="73"/>
      <c r="E56" s="73"/>
      <c r="F56" s="73"/>
      <c r="G56" s="73"/>
      <c r="H56" s="73"/>
      <c r="I56" s="73"/>
      <c r="J56" s="73"/>
      <c r="K56" s="73"/>
      <c r="L56" s="73"/>
      <c r="M56" s="73"/>
      <c r="N56" s="73"/>
    </row>
    <row r="57" spans="1:14">
      <c r="A57" s="73"/>
      <c r="B57" s="73"/>
      <c r="C57" s="73"/>
      <c r="D57" s="73"/>
      <c r="E57" s="73"/>
      <c r="F57" s="73"/>
      <c r="G57" s="73"/>
      <c r="H57" s="73"/>
      <c r="I57" s="73"/>
      <c r="J57" s="73"/>
      <c r="K57" s="73"/>
      <c r="L57" s="73"/>
      <c r="M57" s="73"/>
      <c r="N57" s="73"/>
    </row>
    <row r="58" spans="1:14">
      <c r="A58" s="73"/>
      <c r="B58" s="73"/>
      <c r="C58" s="73"/>
      <c r="D58" s="73"/>
      <c r="E58" s="73"/>
      <c r="F58" s="73"/>
      <c r="G58" s="73"/>
      <c r="H58" s="73"/>
      <c r="I58" s="73"/>
      <c r="J58" s="73"/>
      <c r="K58" s="73"/>
      <c r="L58" s="73"/>
      <c r="M58" s="73"/>
      <c r="N58" s="73"/>
    </row>
    <row r="59" spans="1:14">
      <c r="A59" s="73"/>
      <c r="B59" s="73"/>
      <c r="C59" s="73"/>
      <c r="D59" s="73"/>
      <c r="E59" s="73"/>
      <c r="F59" s="73"/>
      <c r="G59" s="73"/>
      <c r="H59" s="73"/>
      <c r="I59" s="73"/>
      <c r="J59" s="73"/>
      <c r="K59" s="73"/>
      <c r="L59" s="73"/>
      <c r="M59" s="73"/>
      <c r="N59" s="73"/>
    </row>
    <row r="60" spans="1:14">
      <c r="A60" s="73"/>
      <c r="B60" s="73"/>
      <c r="C60" s="73"/>
      <c r="D60" s="73"/>
      <c r="E60" s="73"/>
      <c r="F60" s="73"/>
      <c r="G60" s="73"/>
      <c r="H60" s="73"/>
      <c r="I60" s="73"/>
      <c r="J60" s="73"/>
      <c r="K60" s="73"/>
      <c r="L60" s="73"/>
      <c r="M60" s="73"/>
      <c r="N60" s="73"/>
    </row>
    <row r="61" spans="1:14">
      <c r="A61" s="73"/>
      <c r="B61" s="73"/>
      <c r="C61" s="73"/>
      <c r="D61" s="73"/>
      <c r="E61" s="73"/>
      <c r="F61" s="73"/>
      <c r="G61" s="73"/>
      <c r="H61" s="73"/>
      <c r="I61" s="73"/>
      <c r="J61" s="73"/>
      <c r="K61" s="73"/>
      <c r="L61" s="73"/>
      <c r="M61" s="73"/>
      <c r="N61" s="73"/>
    </row>
    <row r="62" spans="1:14">
      <c r="A62" s="73"/>
      <c r="B62" s="73"/>
      <c r="C62" s="73"/>
      <c r="D62" s="73"/>
      <c r="E62" s="73"/>
      <c r="F62" s="73"/>
      <c r="G62" s="73"/>
      <c r="H62" s="73"/>
      <c r="I62" s="73"/>
      <c r="J62" s="73"/>
      <c r="K62" s="73"/>
      <c r="L62" s="73"/>
      <c r="M62" s="73"/>
      <c r="N62" s="73"/>
    </row>
    <row r="63" spans="1:14">
      <c r="A63" s="73"/>
      <c r="B63" s="73"/>
      <c r="C63" s="73"/>
      <c r="D63" s="73"/>
      <c r="E63" s="73"/>
      <c r="F63" s="73"/>
      <c r="G63" s="73"/>
      <c r="H63" s="73"/>
      <c r="I63" s="73"/>
      <c r="J63" s="73"/>
      <c r="K63" s="73"/>
      <c r="L63" s="73"/>
      <c r="M63" s="73"/>
      <c r="N63" s="73"/>
    </row>
    <row r="64" spans="1:14">
      <c r="A64" s="73"/>
      <c r="B64" s="73"/>
      <c r="C64" s="73"/>
      <c r="D64" s="73"/>
      <c r="E64" s="73"/>
      <c r="F64" s="73"/>
      <c r="G64" s="73"/>
      <c r="H64" s="73"/>
      <c r="I64" s="73"/>
      <c r="J64" s="73"/>
      <c r="K64" s="73"/>
      <c r="L64" s="73"/>
      <c r="M64" s="73"/>
      <c r="N64" s="73"/>
    </row>
    <row r="65" spans="1:14">
      <c r="A65" s="73"/>
      <c r="B65" s="73"/>
      <c r="C65" s="73"/>
      <c r="D65" s="73"/>
      <c r="E65" s="73"/>
      <c r="F65" s="73"/>
      <c r="G65" s="73"/>
      <c r="H65" s="73"/>
      <c r="I65" s="73"/>
      <c r="J65" s="73"/>
      <c r="K65" s="73"/>
      <c r="L65" s="73"/>
      <c r="M65" s="73"/>
      <c r="N65" s="73"/>
    </row>
    <row r="66" spans="1:14">
      <c r="A66" s="73"/>
      <c r="B66" s="73"/>
      <c r="C66" s="73"/>
      <c r="D66" s="73"/>
      <c r="E66" s="73"/>
      <c r="F66" s="73"/>
      <c r="G66" s="73"/>
      <c r="H66" s="73"/>
      <c r="I66" s="73"/>
      <c r="J66" s="73"/>
      <c r="K66" s="73"/>
      <c r="L66" s="73"/>
      <c r="M66" s="73"/>
      <c r="N66" s="73"/>
    </row>
    <row r="67" spans="1:14">
      <c r="A67" s="73"/>
      <c r="B67" s="73"/>
      <c r="C67" s="73"/>
      <c r="D67" s="73"/>
      <c r="E67" s="73"/>
      <c r="F67" s="73"/>
      <c r="G67" s="73"/>
      <c r="H67" s="73"/>
      <c r="I67" s="73"/>
      <c r="J67" s="73"/>
      <c r="K67" s="73"/>
      <c r="L67" s="73"/>
      <c r="M67" s="73"/>
      <c r="N67" s="73"/>
    </row>
    <row r="68" spans="1:14">
      <c r="A68" s="73"/>
      <c r="B68" s="73"/>
      <c r="C68" s="73"/>
      <c r="D68" s="73"/>
      <c r="E68" s="73"/>
      <c r="F68" s="73"/>
      <c r="G68" s="73"/>
      <c r="H68" s="73"/>
      <c r="I68" s="73"/>
      <c r="J68" s="73"/>
      <c r="K68" s="73"/>
      <c r="L68" s="73"/>
      <c r="M68" s="73"/>
      <c r="N68" s="73"/>
    </row>
    <row r="69" spans="1:14">
      <c r="A69" s="73"/>
      <c r="B69" s="73"/>
      <c r="C69" s="73"/>
      <c r="D69" s="73"/>
      <c r="E69" s="73"/>
      <c r="F69" s="73"/>
      <c r="G69" s="73"/>
      <c r="H69" s="73"/>
      <c r="I69" s="73"/>
      <c r="J69" s="73"/>
      <c r="K69" s="73"/>
      <c r="L69" s="73"/>
      <c r="M69" s="73"/>
      <c r="N69" s="73"/>
    </row>
    <row r="70" spans="1:14">
      <c r="A70" s="73"/>
      <c r="B70" s="73"/>
      <c r="C70" s="73"/>
      <c r="D70" s="73"/>
      <c r="E70" s="73"/>
      <c r="F70" s="73"/>
      <c r="G70" s="73"/>
      <c r="H70" s="73"/>
      <c r="I70" s="73"/>
      <c r="J70" s="73"/>
      <c r="K70" s="73"/>
      <c r="L70" s="73"/>
      <c r="M70" s="73"/>
      <c r="N70" s="73"/>
    </row>
    <row r="71" spans="1:14">
      <c r="A71" s="73"/>
      <c r="B71" s="73"/>
      <c r="C71" s="73"/>
      <c r="D71" s="73"/>
      <c r="E71" s="73"/>
      <c r="F71" s="73"/>
      <c r="G71" s="73"/>
      <c r="H71" s="73"/>
      <c r="I71" s="73"/>
      <c r="J71" s="73"/>
      <c r="K71" s="73"/>
      <c r="L71" s="73"/>
      <c r="M71" s="73"/>
      <c r="N71" s="73"/>
    </row>
    <row r="72" spans="1:14">
      <c r="A72" s="73"/>
      <c r="B72" s="73"/>
      <c r="C72" s="73"/>
      <c r="D72" s="73"/>
      <c r="E72" s="73"/>
      <c r="F72" s="73"/>
      <c r="G72" s="73"/>
      <c r="H72" s="73"/>
      <c r="I72" s="73"/>
      <c r="J72" s="73"/>
      <c r="K72" s="73"/>
      <c r="L72" s="73"/>
      <c r="M72" s="73"/>
      <c r="N72" s="73"/>
    </row>
    <row r="73" spans="1:14">
      <c r="A73" s="73"/>
      <c r="B73" s="73"/>
      <c r="C73" s="73"/>
      <c r="D73" s="73"/>
      <c r="E73" s="73"/>
      <c r="F73" s="73"/>
      <c r="G73" s="73"/>
      <c r="H73" s="73"/>
      <c r="I73" s="73"/>
      <c r="J73" s="73"/>
      <c r="K73" s="73"/>
      <c r="L73" s="73"/>
      <c r="M73" s="73"/>
      <c r="N73" s="73"/>
    </row>
    <row r="74" spans="1:14">
      <c r="A74" s="73"/>
      <c r="B74" s="73"/>
      <c r="C74" s="73"/>
      <c r="D74" s="73"/>
      <c r="E74" s="73"/>
      <c r="F74" s="73"/>
      <c r="G74" s="73"/>
      <c r="H74" s="73"/>
      <c r="I74" s="73"/>
      <c r="J74" s="73"/>
      <c r="K74" s="73"/>
      <c r="L74" s="73"/>
      <c r="M74" s="73"/>
      <c r="N74" s="73"/>
    </row>
    <row r="75" spans="1:14">
      <c r="A75" s="73"/>
      <c r="B75" s="73"/>
      <c r="C75" s="73"/>
      <c r="D75" s="73"/>
      <c r="E75" s="73"/>
      <c r="F75" s="73"/>
      <c r="G75" s="73"/>
      <c r="H75" s="73"/>
      <c r="I75" s="73"/>
      <c r="J75" s="73"/>
      <c r="K75" s="73"/>
      <c r="L75" s="73"/>
      <c r="M75" s="73"/>
      <c r="N75" s="73"/>
    </row>
    <row r="76" spans="1:14">
      <c r="A76" s="73"/>
      <c r="B76" s="73"/>
      <c r="C76" s="73"/>
      <c r="D76" s="73"/>
      <c r="E76" s="73"/>
      <c r="F76" s="73"/>
      <c r="G76" s="73"/>
      <c r="H76" s="73"/>
      <c r="I76" s="73"/>
      <c r="J76" s="73"/>
      <c r="K76" s="73"/>
      <c r="L76" s="73"/>
      <c r="M76" s="73"/>
      <c r="N76" s="73"/>
    </row>
  </sheetData>
  <mergeCells count="2">
    <mergeCell ref="A1:N1"/>
    <mergeCell ref="A2:N2"/>
  </mergeCells>
  <pageMargins left="0.75" right="0.75" top="1" bottom="1" header="0.511811023622047" footer="0.511811023622047"/>
  <pageSetup paperSize="9"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365B2C3EB1394981A5F569EEB50D4B" ma:contentTypeVersion="13" ma:contentTypeDescription="Create a new document." ma:contentTypeScope="" ma:versionID="200635785d2b49331fd27cfb2421adf2">
  <xsd:schema xmlns:xsd="http://www.w3.org/2001/XMLSchema" xmlns:xs="http://www.w3.org/2001/XMLSchema" xmlns:p="http://schemas.microsoft.com/office/2006/metadata/properties" xmlns:ns2="7e03d2fe-6596-40a7-9914-2ca8d26fda55" xmlns:ns3="379d44dc-71d6-4107-9211-2c153ff1c2dc" targetNamespace="http://schemas.microsoft.com/office/2006/metadata/properties" ma:root="true" ma:fieldsID="0fa690a275e0ee611e3b3e0464d20902" ns2:_="" ns3:_="">
    <xsd:import namespace="7e03d2fe-6596-40a7-9914-2ca8d26fda55"/>
    <xsd:import namespace="379d44dc-71d6-4107-9211-2c153ff1c2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03d2fe-6596-40a7-9914-2ca8d26fda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3c6d8ff-8d6f-4438-9589-c3c43329623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9d44dc-71d6-4107-9211-2c153ff1c2d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9ce2ee0-b452-46a5-9ad8-58cd76cb40e7}" ma:internalName="TaxCatchAll" ma:showField="CatchAllData" ma:web="379d44dc-71d6-4107-9211-2c153ff1c2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79d44dc-71d6-4107-9211-2c153ff1c2dc" xsi:nil="true"/>
    <lcf76f155ced4ddcb4097134ff3c332f xmlns="7e03d2fe-6596-40a7-9914-2ca8d26fda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FE7C77-8777-4953-854C-4A55EC60D475}"/>
</file>

<file path=customXml/itemProps2.xml><?xml version="1.0" encoding="utf-8"?>
<ds:datastoreItem xmlns:ds="http://schemas.openxmlformats.org/officeDocument/2006/customXml" ds:itemID="{BBD820FE-5EC8-4FCB-B5A0-792BAB8EB7B8}"/>
</file>

<file path=customXml/itemProps3.xml><?xml version="1.0" encoding="utf-8"?>
<ds:datastoreItem xmlns:ds="http://schemas.openxmlformats.org/officeDocument/2006/customXml" ds:itemID="{E3E237A4-DD10-4C88-9D6C-784E0B8DBA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Nadia Arevalo</dc:creator>
  <cp:keywords/>
  <dc:description/>
  <cp:lastModifiedBy/>
  <cp:revision>2</cp:revision>
  <dcterms:created xsi:type="dcterms:W3CDTF">2023-05-05T20:12:47Z</dcterms:created>
  <dcterms:modified xsi:type="dcterms:W3CDTF">2026-06-02T21:53:30Z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ntidad">
    <vt:r8>1</vt:r8>
  </property>
  <property fmtid="{D5CDD505-2E9C-101B-9397-08002B2CF9AE}" pid="3" name="Cantidad0">
    <vt:r8>1</vt:r8>
  </property>
  <property fmtid="{D5CDD505-2E9C-101B-9397-08002B2CF9AE}" pid="4" name="ComplianceAssetId">
    <vt:lpwstr/>
  </property>
  <property fmtid="{D5CDD505-2E9C-101B-9397-08002B2CF9AE}" pid="5" name="ContentTypeId">
    <vt:lpwstr>0x0101008A365B2C3EB1394981A5F569EEB50D4B</vt:lpwstr>
  </property>
  <property fmtid="{D5CDD505-2E9C-101B-9397-08002B2CF9AE}" pid="6" name="MediaServiceImageTags">
    <vt:lpwstr/>
  </property>
  <property fmtid="{D5CDD505-2E9C-101B-9397-08002B2CF9AE}" pid="7" name="Order">
    <vt:r8>96081300</vt:r8>
  </property>
  <property fmtid="{D5CDD505-2E9C-101B-9397-08002B2CF9AE}" pid="8" name="TemplateUrl">
    <vt:lpwstr/>
  </property>
  <property fmtid="{D5CDD505-2E9C-101B-9397-08002B2CF9AE}" pid="9" name="TriggerFlowInfo">
    <vt:lpwstr/>
  </property>
  <property fmtid="{D5CDD505-2E9C-101B-9397-08002B2CF9AE}" pid="10" name="_ExtendedDescription">
    <vt:lpwstr/>
  </property>
  <property fmtid="{D5CDD505-2E9C-101B-9397-08002B2CF9AE}" pid="11" name="xd_ProgID">
    <vt:lpwstr/>
  </property>
  <property fmtid="{D5CDD505-2E9C-101B-9397-08002B2CF9AE}" pid="12" name="xd_Signature">
    <vt:bool>false</vt:bool>
  </property>
</Properties>
</file>